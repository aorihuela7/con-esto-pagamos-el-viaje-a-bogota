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scalera" sheetId="1" state="visible" r:id="rId3"/>
    <sheet name="Comparación Kelly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<sst xmlns="http://schemas.openxmlformats.org/spreadsheetml/2006/main" count="141" uniqueCount="115">
  <si>
    <t xml:space="preserve">ESCALERA SNOWBALL — Mundial 2026  ·  los 41 partidos, fecha a fecha</t>
  </si>
  <si>
    <t xml:space="preserve">Apuesta el día 1 y la ganancia rueda al siguiente. Tú decides cuánto re-apostar (o 0 = no apostar) y cuánto retirar a bóveda.</t>
  </si>
  <si>
    <t xml:space="preserve">Banca inicial (edítala):</t>
  </si>
  <si>
    <t xml:space="preserve">← celda amarilla = la editas tú. Las demás amarillo claro son inputs por partido.</t>
  </si>
  <si>
    <t xml:space="preserve">#</t>
  </si>
  <si>
    <t xml:space="preserve">Fecha</t>
  </si>
  <si>
    <t xml:space="preserve">Partido  ·  Pick</t>
  </si>
  <si>
    <t xml:space="preserve">Cuota</t>
  </si>
  <si>
    <t xml:space="preserve">Mi P</t>
  </si>
  <si>
    <t xml:space="preserve">Banca inicio</t>
  </si>
  <si>
    <t xml:space="preserve">Apostar S/</t>
  </si>
  <si>
    <t xml:space="preserve">¿Ganó? 1/0</t>
  </si>
  <si>
    <t xml:space="preserve">Retorno</t>
  </si>
  <si>
    <t xml:space="preserve">Retirar S/</t>
  </si>
  <si>
    <t xml:space="preserve">Banca cierre</t>
  </si>
  <si>
    <t xml:space="preserve">11/06</t>
  </si>
  <si>
    <t xml:space="preserve">México vs Sudáfrica  →  México gana</t>
  </si>
  <si>
    <t xml:space="preserve">13/06</t>
  </si>
  <si>
    <t xml:space="preserve">Catar vs Suiza  →  Suiza gana</t>
  </si>
  <si>
    <t xml:space="preserve">Australia vs Turquía  →  Turquía gana</t>
  </si>
  <si>
    <t xml:space="preserve">14/06</t>
  </si>
  <si>
    <t xml:space="preserve">Alemania vs Curazao  →  Alemania gana</t>
  </si>
  <si>
    <t xml:space="preserve">15/06</t>
  </si>
  <si>
    <t xml:space="preserve">España vs Cabo Verde  →  España gana</t>
  </si>
  <si>
    <t xml:space="preserve">Arabia Saudita vs Uruguay  →  Uruguay gana</t>
  </si>
  <si>
    <t xml:space="preserve">16/06</t>
  </si>
  <si>
    <t xml:space="preserve">Francia vs Senegal  →  Francia gana</t>
  </si>
  <si>
    <t xml:space="preserve">Irak vs Noruega  →  Noruega gana</t>
  </si>
  <si>
    <t xml:space="preserve">Austria vs Jordan  →  Austria gana</t>
  </si>
  <si>
    <t xml:space="preserve">17/06</t>
  </si>
  <si>
    <t xml:space="preserve">Haití vs Escocia  →  Escocia gana   (SIN VALOR)</t>
  </si>
  <si>
    <t xml:space="preserve">Portugal vs RD Congo  →  Portugal gana</t>
  </si>
  <si>
    <t xml:space="preserve">Ghana vs Panamá  →  Ghana 1X</t>
  </si>
  <si>
    <t xml:space="preserve">Uzbekistán vs Colombia  →  Colombia gana</t>
  </si>
  <si>
    <t xml:space="preserve">18/06</t>
  </si>
  <si>
    <t xml:space="preserve">Bélgica vs Egipto  →  Bélgica 1X   (SIN VALOR)</t>
  </si>
  <si>
    <t xml:space="preserve">Argentina vs Argelia  →  Argentina gana   (SIN VALOR)</t>
  </si>
  <si>
    <t xml:space="preserve">Rep. Checa vs Sudáfrica  →  Rep. Checa 1X</t>
  </si>
  <si>
    <t xml:space="preserve">Suiza vs Bosnia  →  Suiza 1X   (SIN VALOR)</t>
  </si>
  <si>
    <t xml:space="preserve">19/06</t>
  </si>
  <si>
    <t xml:space="preserve">EE.UU. vs Australia  →  EE.UU. 1X   (SIN VALOR)</t>
  </si>
  <si>
    <t xml:space="preserve">Escocia vs Marruecos  →  Marruecos gana</t>
  </si>
  <si>
    <t xml:space="preserve">Brasil vs Haití  →  Brasil gana</t>
  </si>
  <si>
    <t xml:space="preserve">20/06</t>
  </si>
  <si>
    <t xml:space="preserve">Ecuador vs Curazao  →  Ecuador gana</t>
  </si>
  <si>
    <t xml:space="preserve">Túnez vs Japón  →  Japón 2X   (SIN VALOR)</t>
  </si>
  <si>
    <t xml:space="preserve">21/06</t>
  </si>
  <si>
    <t xml:space="preserve">España vs Arabia Saudita  →  España gana</t>
  </si>
  <si>
    <t xml:space="preserve">Bélgica vs Irán  →  Bélgica gana</t>
  </si>
  <si>
    <t xml:space="preserve">Uruguay vs Cabo Verde  →  Uruguay gana</t>
  </si>
  <si>
    <t xml:space="preserve">Nueva Zelanda vs Egipto  →  Egipto 2X</t>
  </si>
  <si>
    <t xml:space="preserve">22/06</t>
  </si>
  <si>
    <t xml:space="preserve">Argentina vs Austria  →  Argentina gana   (SIN VALOR)</t>
  </si>
  <si>
    <t xml:space="preserve">Francia vs Irak  →  Francia gana</t>
  </si>
  <si>
    <t xml:space="preserve">23/06</t>
  </si>
  <si>
    <t xml:space="preserve">Portugal vs Uzbekistán  →  Portugal gana</t>
  </si>
  <si>
    <t xml:space="preserve">Inglaterra vs Ghana  →  Inglaterra gana</t>
  </si>
  <si>
    <t xml:space="preserve">Panamá vs Croacia  →  Croacia gana</t>
  </si>
  <si>
    <t xml:space="preserve">Colombia vs RD Congo  →  Colombia gana</t>
  </si>
  <si>
    <t xml:space="preserve">24/06</t>
  </si>
  <si>
    <t xml:space="preserve">Escocia vs Brasil  →  Brasil gana</t>
  </si>
  <si>
    <t xml:space="preserve">Marruecos vs Haití  →  Marruecos gana</t>
  </si>
  <si>
    <t xml:space="preserve">Sudáfrica vs Corea del Sur  →  Corea 2X</t>
  </si>
  <si>
    <t xml:space="preserve">25/06</t>
  </si>
  <si>
    <t xml:space="preserve">Jordan vs Argelia  →  Argelia 2X   (SIN VALOR)</t>
  </si>
  <si>
    <t xml:space="preserve">Curazao vs Costa de Marfil  →  C. Marfil gana</t>
  </si>
  <si>
    <t xml:space="preserve">26/06</t>
  </si>
  <si>
    <t xml:space="preserve">Senegal vs Irak  →  Senegal gana</t>
  </si>
  <si>
    <t xml:space="preserve">Nueva Zelanda vs Bélgica  →  Bélgica gana</t>
  </si>
  <si>
    <t xml:space="preserve">27/06</t>
  </si>
  <si>
    <t xml:space="preserve">Panamá vs Inglaterra  →  Inglaterra gana</t>
  </si>
  <si>
    <t xml:space="preserve">Jordan vs Argentina  →  Argentina gana</t>
  </si>
  <si>
    <t xml:space="preserve">RESULTADO</t>
  </si>
  <si>
    <t xml:space="preserve">RIQUEZA TOTAL  (banca final + bóveda retirada)</t>
  </si>
  <si>
    <t xml:space="preserve">   Fila roja = una de las 8 picks que, según el análisis de valor, NO conviene apostar (cuota peor que su probabilidad real).</t>
  </si>
  <si>
    <t xml:space="preserve">   Celdas amarillas = inputs tuyos: Apostar S/ (0 o vacío = no apuestas ese día), ¿Ganó? (1 gana / 0 pierde), Retirar S/ (mandas ganancia a bóveda).</t>
  </si>
  <si>
    <t xml:space="preserve">   La Banca inicio de cada partido = Banca cierre del anterior: así rueda la ganancia sola.</t>
  </si>
  <si>
    <t xml:space="preserve">La 'súper combinada' de los 41 (referencia teórica)</t>
  </si>
  <si>
    <t xml:space="preserve">•  Si apostaras TODO en cada partido y ganaras los 41 (cuotas × cuotas): S/100 → S/ 9,773,850</t>
  </si>
  <si>
    <t xml:space="preserve">    ...pero la probabilidad de acertar los 41 es 0.0252%  (prácticamente imposible)</t>
  </si>
  <si>
    <t xml:space="preserve">•  Quitando las 8 sin valor, los 33 buenos: S/100 → S/ 1,165,702</t>
  </si>
  <si>
    <t xml:space="preserve">    ...probabilidad de acertar los 33: 0.440%  (sigue siendo mínima)</t>
  </si>
  <si>
    <t xml:space="preserve">Por eso conviene NO re-apostar el 100% siempre: retira parte a bóveda en cada paso. Así aseguras ganancia y dejas rodar solo una porción.</t>
  </si>
  <si>
    <t xml:space="preserve">¿QUÉ FRACCIÓN DE KELLY?  —  Escalera partido a partido</t>
  </si>
  <si>
    <t xml:space="preserve">Apuestas los 33 partidos con valor, uno por uno en orden de fecha, arriesgando una fracción de Kelly en cada uno. 200.000 mundiales simulados con TUS probabilidades, banca inicial S/100.</t>
  </si>
  <si>
    <t xml:space="preserve">Métrica</t>
  </si>
  <si>
    <t xml:space="preserve">½ Kelly (conservador)</t>
  </si>
  <si>
    <t xml:space="preserve">⅔ Kelly (medio)</t>
  </si>
  <si>
    <t xml:space="preserve">Kelly 100% (agresivo)</t>
  </si>
  <si>
    <t xml:space="preserve">Banca típica (mediana)</t>
  </si>
  <si>
    <t xml:space="preserve">S/ 278</t>
  </si>
  <si>
    <t xml:space="preserve">S/ 355</t>
  </si>
  <si>
    <t xml:space="preserve">S/ 474</t>
  </si>
  <si>
    <t xml:space="preserve">Prob. de terminar ganando</t>
  </si>
  <si>
    <t xml:space="preserve">93.4 %</t>
  </si>
  <si>
    <t xml:space="preserve">91.1 %</t>
  </si>
  <si>
    <t xml:space="preserve">83.7 %</t>
  </si>
  <si>
    <t xml:space="preserve">Prob. de quebrar (perder 90%+)</t>
  </si>
  <si>
    <t xml:space="preserve">0.0 %</t>
  </si>
  <si>
    <t xml:space="preserve">1.3 %</t>
  </si>
  <si>
    <t xml:space="preserve">Peor caso (P10)</t>
  </si>
  <si>
    <t xml:space="preserve">S/ 118</t>
  </si>
  <si>
    <t xml:space="preserve">S/ 107</t>
  </si>
  <si>
    <t xml:space="preserve">S/ 59</t>
  </si>
  <si>
    <t xml:space="preserve">Mejor caso (P90)</t>
  </si>
  <si>
    <t xml:space="preserve">S/ 542</t>
  </si>
  <si>
    <t xml:space="preserve">S/ 897</t>
  </si>
  <si>
    <t xml:space="preserve">S/ 2265</t>
  </si>
  <si>
    <t xml:space="preserve">Cómo leerlo</t>
  </si>
  <si>
    <t xml:space="preserve">•  Las tres casi nunca quiebran: tienes ventaja real, y apostar por partido (no todo junto) diversifica el riesgo entre 33 apuestas.</t>
  </si>
  <si>
    <t xml:space="preserve">•  ½ Kelly: el más estable. Mediana ~S/278, casi imposible perder, pero el techo es más bajo. Ideal si dudas algo de tus probabilidades.</t>
  </si>
  <si>
    <t xml:space="preserve">•  ⅔ Kelly: punto medio. Sube la mediana a ~S/356 y el mejor caso casi se duplica, sin meter riesgo de quiebra. Buen balance para 'moderado-agresivo'.</t>
  </si>
  <si>
    <t xml:space="preserve">•  Kelly 100%: mayor crecimiento (mediana ~S/474, P90 S/2.265) pero aparece 1,3% de riesgo de quiebra y el peor caso baja a S/59. Una pick llega a pedir el 82% de la banca — demasiado para un solo partido.</t>
  </si>
  <si>
    <t xml:space="preserve">•  Regla práctica: cuanto MENOS confíes en que tus probabilidades son exactas, MÁS baja la fracción. Si tu 85% real fuera 70%, Kelly 100% pasaría a perder dinero; ½ Kelly te protege de ese error.</t>
  </si>
  <si>
    <t xml:space="preserve">Recomendación: ⅔ Kelly encaja con tu perfil 'entre moderado y agresivo' — más crecimiento que ½ Kelly y aún 0% de quiebra. Reserva Kelly 100% solo si estás muy seguro de tus probabilidades.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</si>
</sst>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&quot;S/ &quot;#,##0"/>
    <numFmt numFmtId="166" formatCode="0.00"/>
    <numFmt numFmtId="167" formatCode="0%"/>
    <numFmt numFmtId="168" formatCode="&quot;S/ &quot;#,##0.00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7"/>
      <color rgb="FFFFFFFF"/>
      <name val="Arial"/>
      <family val="0"/>
      <charset val="1"/>
    </font>
    <font>
      <sz val="10"/>
      <color rgb="FFFFFFFF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2"/>
      <color rgb="FF0000FF"/>
      <name val="Arial"/>
      <family val="0"/>
      <charset val="1"/>
    </font>
    <font>
      <sz val="9"/>
      <color rgb="FF80808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2"/>
      <color rgb="FFBF9000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b val="true"/>
      <sz val="15"/>
      <color rgb="FFFFFFFF"/>
      <name val="Arial"/>
      <family val="0"/>
      <charset val="1"/>
    </font>
    <font>
      <sz val="9"/>
      <color rgb="FFFFFFFF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0"/>
      <color rgb="FF006100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5496"/>
        <bgColor rgb="FF1F3864"/>
      </patternFill>
    </fill>
    <fill>
      <patternFill patternType="solid">
        <fgColor rgb="FFDDEBF7"/>
        <bgColor rgb="FFF2F2F2"/>
      </patternFill>
    </fill>
    <fill>
      <patternFill patternType="solid">
        <fgColor rgb="FFFFF2CC"/>
        <bgColor rgb="FFFCE4D6"/>
      </patternFill>
    </fill>
    <fill>
      <patternFill patternType="solid">
        <fgColor rgb="FFFFFFFF"/>
        <bgColor rgb="FFFFFDE7"/>
      </patternFill>
    </fill>
    <fill>
      <patternFill patternType="solid">
        <fgColor rgb="FFFFFDE7"/>
        <bgColor rgb="FFFFFFFF"/>
      </patternFill>
    </fill>
    <fill>
      <patternFill patternType="solid">
        <fgColor rgb="FFF2F2F2"/>
        <bgColor rgb="FFFFFDE7"/>
      </patternFill>
    </fill>
    <fill>
      <patternFill patternType="solid">
        <fgColor rgb="FFF4CCCC"/>
        <bgColor rgb="FFFCE4D6"/>
      </patternFill>
    </fill>
    <fill>
      <patternFill patternType="solid">
        <fgColor rgb="FFC6EFCE"/>
        <bgColor rgb="FFDDEBF7"/>
      </patternFill>
    </fill>
    <fill>
      <patternFill patternType="solid">
        <fgColor rgb="FFFCE4D6"/>
        <bgColor rgb="FFFFF2C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0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0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0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0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0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0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2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2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2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2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4" fillId="2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3" fillId="2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15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9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7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DE7"/>
      <rgbColor rgb="FFDDEBF7"/>
      <rgbColor rgb="FF660066"/>
      <rgbColor rgb="FFFF8080"/>
      <rgbColor rgb="FF0066CC"/>
      <rgbColor rgb="FFFCE4D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6EFCE"/>
      <rgbColor rgb="FFFFF2CC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BF90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E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L6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7" topLeftCell="B8" activePane="bottomRight" state="frozen"/>
      <selection pane="topLeft" activeCell="A1" activeCellId="0" sqref="A1"/>
      <selection pane="topRight" activeCell="B1" activeCellId="0" sqref="B1"/>
      <selection pane="bottomLeft" activeCell="A8" activeCellId="0" sqref="A8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5"/>
    <col collapsed="false" customWidth="true" hidden="false" outlineLevel="0" max="3" min="3" style="1" width="7"/>
    <col collapsed="false" customWidth="true" hidden="false" outlineLevel="0" max="4" min="4" style="1" width="34"/>
    <col collapsed="false" customWidth="true" hidden="false" outlineLevel="0" max="6" min="5" style="1" width="7"/>
    <col collapsed="false" customWidth="true" hidden="false" outlineLevel="0" max="7" min="7" style="1" width="13"/>
    <col collapsed="false" customWidth="true" hidden="false" outlineLevel="0" max="8" min="8" style="1" width="12"/>
    <col collapsed="false" customWidth="true" hidden="false" outlineLevel="0" max="9" min="9" style="1" width="9"/>
    <col collapsed="false" customWidth="true" hidden="false" outlineLevel="0" max="10" min="10" style="1" width="13"/>
    <col collapsed="false" customWidth="true" hidden="false" outlineLevel="0" max="11" min="11" style="1" width="12"/>
    <col collapsed="false" customWidth="true" hidden="false" outlineLevel="0" max="12" min="12" style="1" width="14"/>
  </cols>
  <sheetData>
    <row r="2" customFormat="false" ht="30" hidden="false" customHeight="true" outlineLevel="0" collapsed="false">
      <c r="B2" s="2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21.75" hidden="false" customHeight="true" outlineLevel="0" collapsed="false">
      <c r="B3" s="3" t="s">
        <v>1</v>
      </c>
      <c r="C3" s="3"/>
      <c r="D3" s="3"/>
      <c r="E3" s="3"/>
      <c r="F3" s="3"/>
      <c r="G3" s="3"/>
      <c r="H3" s="3"/>
      <c r="I3" s="3"/>
      <c r="J3" s="3"/>
      <c r="K3" s="3"/>
      <c r="L3" s="3"/>
    </row>
    <row r="5" customFormat="false" ht="15" hidden="false" customHeight="true" outlineLevel="0" collapsed="false">
      <c r="B5" s="4" t="s">
        <v>2</v>
      </c>
      <c r="C5" s="4"/>
      <c r="D5" s="4"/>
      <c r="E5" s="5" t="n">
        <v>100</v>
      </c>
      <c r="F5" s="6" t="s">
        <v>3</v>
      </c>
      <c r="G5" s="6"/>
      <c r="H5" s="6"/>
      <c r="I5" s="6"/>
      <c r="J5" s="6"/>
      <c r="K5" s="6"/>
      <c r="L5" s="6"/>
    </row>
    <row r="7" customFormat="false" ht="27.75" hidden="false" customHeight="true" outlineLevel="0" collapsed="false">
      <c r="B7" s="7" t="s">
        <v>4</v>
      </c>
      <c r="C7" s="7" t="s">
        <v>5</v>
      </c>
      <c r="D7" s="7" t="s">
        <v>6</v>
      </c>
      <c r="E7" s="7" t="s">
        <v>7</v>
      </c>
      <c r="F7" s="7" t="s">
        <v>8</v>
      </c>
      <c r="G7" s="7" t="s">
        <v>9</v>
      </c>
      <c r="H7" s="7" t="s">
        <v>10</v>
      </c>
      <c r="I7" s="7" t="s">
        <v>11</v>
      </c>
      <c r="J7" s="7" t="s">
        <v>12</v>
      </c>
      <c r="K7" s="7" t="s">
        <v>13</v>
      </c>
      <c r="L7" s="7" t="s">
        <v>14</v>
      </c>
    </row>
    <row r="8" customFormat="false" ht="15" hidden="false" customHeight="true" outlineLevel="0" collapsed="false">
      <c r="B8" s="8" t="n">
        <v>1</v>
      </c>
      <c r="C8" s="8" t="s">
        <v>15</v>
      </c>
      <c r="D8" s="9" t="s">
        <v>16</v>
      </c>
      <c r="E8" s="10" t="n">
        <v>1.45</v>
      </c>
      <c r="F8" s="11" t="n">
        <v>0.75</v>
      </c>
      <c r="G8" s="12" t="n">
        <f aca="false">$E$5</f>
        <v>100</v>
      </c>
      <c r="H8" s="13"/>
      <c r="I8" s="13"/>
      <c r="J8" s="12" t="n">
        <f aca="false">IF($H8="",0,IF($I8=1,$H8*$E8,0))</f>
        <v>0</v>
      </c>
      <c r="K8" s="13"/>
      <c r="L8" s="12" t="n">
        <f aca="false">$G8-IF($H8="",0,$H8)+$J8-IF($K8="",0,$K8)</f>
        <v>100</v>
      </c>
    </row>
    <row r="9" customFormat="false" ht="15" hidden="false" customHeight="true" outlineLevel="0" collapsed="false">
      <c r="B9" s="14" t="n">
        <v>2</v>
      </c>
      <c r="C9" s="14" t="s">
        <v>17</v>
      </c>
      <c r="D9" s="15" t="s">
        <v>18</v>
      </c>
      <c r="E9" s="16" t="n">
        <v>1.26</v>
      </c>
      <c r="F9" s="17" t="n">
        <v>0.87</v>
      </c>
      <c r="G9" s="18" t="n">
        <f aca="false">$L$8</f>
        <v>100</v>
      </c>
      <c r="H9" s="13"/>
      <c r="I9" s="13"/>
      <c r="J9" s="18" t="n">
        <f aca="false">IF($H9="",0,IF($I9=1,$H9*$E9,0))</f>
        <v>0</v>
      </c>
      <c r="K9" s="13"/>
      <c r="L9" s="18" t="n">
        <f aca="false">$G9-IF($H9="",0,$H9)+$J9-IF($K9="",0,$K9)</f>
        <v>100</v>
      </c>
    </row>
    <row r="10" customFormat="false" ht="15" hidden="false" customHeight="true" outlineLevel="0" collapsed="false">
      <c r="B10" s="8" t="n">
        <v>4</v>
      </c>
      <c r="C10" s="8" t="s">
        <v>17</v>
      </c>
      <c r="D10" s="9" t="s">
        <v>19</v>
      </c>
      <c r="E10" s="10" t="n">
        <v>1.8</v>
      </c>
      <c r="F10" s="11" t="n">
        <v>0.78</v>
      </c>
      <c r="G10" s="12" t="n">
        <f aca="false">$L$9</f>
        <v>100</v>
      </c>
      <c r="H10" s="13"/>
      <c r="I10" s="13"/>
      <c r="J10" s="12" t="n">
        <f aca="false">IF($H10="",0,IF($I10=1,$H10*$E10,0))</f>
        <v>0</v>
      </c>
      <c r="K10" s="13"/>
      <c r="L10" s="12" t="n">
        <f aca="false">$G10-IF($H10="",0,$H10)+$J10-IF($K10="",0,$K10)</f>
        <v>100</v>
      </c>
    </row>
    <row r="11" customFormat="false" ht="15" hidden="false" customHeight="true" outlineLevel="0" collapsed="false">
      <c r="B11" s="14" t="n">
        <v>5</v>
      </c>
      <c r="C11" s="14" t="s">
        <v>20</v>
      </c>
      <c r="D11" s="15" t="s">
        <v>21</v>
      </c>
      <c r="E11" s="16" t="n">
        <v>1.05</v>
      </c>
      <c r="F11" s="17" t="n">
        <v>0.98</v>
      </c>
      <c r="G11" s="18" t="n">
        <f aca="false">$L$10</f>
        <v>100</v>
      </c>
      <c r="H11" s="13"/>
      <c r="I11" s="13"/>
      <c r="J11" s="18" t="n">
        <f aca="false">IF($H11="",0,IF($I11=1,$H11*$E11,0))</f>
        <v>0</v>
      </c>
      <c r="K11" s="13"/>
      <c r="L11" s="18" t="n">
        <f aca="false">$G11-IF($H11="",0,$H11)+$J11-IF($K11="",0,$K11)</f>
        <v>100</v>
      </c>
    </row>
    <row r="12" customFormat="false" ht="15" hidden="false" customHeight="true" outlineLevel="0" collapsed="false">
      <c r="B12" s="8" t="n">
        <v>6</v>
      </c>
      <c r="C12" s="8" t="s">
        <v>22</v>
      </c>
      <c r="D12" s="9" t="s">
        <v>23</v>
      </c>
      <c r="E12" s="10" t="n">
        <v>1.1</v>
      </c>
      <c r="F12" s="11" t="n">
        <v>0.98</v>
      </c>
      <c r="G12" s="12" t="n">
        <f aca="false">$L$11</f>
        <v>100</v>
      </c>
      <c r="H12" s="13"/>
      <c r="I12" s="13"/>
      <c r="J12" s="12" t="n">
        <f aca="false">IF($H12="",0,IF($I12=1,$H12*$E12,0))</f>
        <v>0</v>
      </c>
      <c r="K12" s="13"/>
      <c r="L12" s="12" t="n">
        <f aca="false">$G12-IF($H12="",0,$H12)+$J12-IF($K12="",0,$K12)</f>
        <v>100</v>
      </c>
    </row>
    <row r="13" customFormat="false" ht="23.25" hidden="false" customHeight="true" outlineLevel="0" collapsed="false">
      <c r="B13" s="14" t="n">
        <v>8</v>
      </c>
      <c r="C13" s="14" t="s">
        <v>22</v>
      </c>
      <c r="D13" s="15" t="s">
        <v>24</v>
      </c>
      <c r="E13" s="16" t="n">
        <v>1.5</v>
      </c>
      <c r="F13" s="17" t="n">
        <v>0.6667</v>
      </c>
      <c r="G13" s="18" t="n">
        <f aca="false">$L$12</f>
        <v>100</v>
      </c>
      <c r="H13" s="13"/>
      <c r="I13" s="13"/>
      <c r="J13" s="18" t="n">
        <f aca="false">IF($H13="",0,IF($I13=1,$H13*$E13,0))</f>
        <v>0</v>
      </c>
      <c r="K13" s="13"/>
      <c r="L13" s="18" t="n">
        <f aca="false">$G13-IF($H13="",0,$H13)+$J13-IF($K13="",0,$K13)</f>
        <v>100</v>
      </c>
    </row>
    <row r="14" customFormat="false" ht="15" hidden="false" customHeight="true" outlineLevel="0" collapsed="false">
      <c r="B14" s="8" t="n">
        <v>9</v>
      </c>
      <c r="C14" s="8" t="s">
        <v>25</v>
      </c>
      <c r="D14" s="9" t="s">
        <v>26</v>
      </c>
      <c r="E14" s="10" t="n">
        <v>1.47</v>
      </c>
      <c r="F14" s="11" t="n">
        <v>0.71</v>
      </c>
      <c r="G14" s="12" t="n">
        <f aca="false">$L$13</f>
        <v>100</v>
      </c>
      <c r="H14" s="13"/>
      <c r="I14" s="13"/>
      <c r="J14" s="12" t="n">
        <f aca="false">IF($H14="",0,IF($I14=1,$H14*$E14,0))</f>
        <v>0</v>
      </c>
      <c r="K14" s="13"/>
      <c r="L14" s="12" t="n">
        <f aca="false">$G14-IF($H14="",0,$H14)+$J14-IF($K14="",0,$K14)</f>
        <v>100</v>
      </c>
    </row>
    <row r="15" customFormat="false" ht="15" hidden="false" customHeight="true" outlineLevel="0" collapsed="false">
      <c r="B15" s="14" t="n">
        <v>10</v>
      </c>
      <c r="C15" s="14" t="s">
        <v>25</v>
      </c>
      <c r="D15" s="15" t="s">
        <v>27</v>
      </c>
      <c r="E15" s="16" t="n">
        <v>1.23</v>
      </c>
      <c r="F15" s="17" t="n">
        <v>0.87</v>
      </c>
      <c r="G15" s="18" t="n">
        <f aca="false">$L$14</f>
        <v>100</v>
      </c>
      <c r="H15" s="13"/>
      <c r="I15" s="13"/>
      <c r="J15" s="18" t="n">
        <f aca="false">IF($H15="",0,IF($I15=1,$H15*$E15,0))</f>
        <v>0</v>
      </c>
      <c r="K15" s="13"/>
      <c r="L15" s="18" t="n">
        <f aca="false">$G15-IF($H15="",0,$H15)+$J15-IF($K15="",0,$K15)</f>
        <v>100</v>
      </c>
    </row>
    <row r="16" customFormat="false" ht="15" hidden="false" customHeight="true" outlineLevel="0" collapsed="false">
      <c r="B16" s="8" t="n">
        <v>12</v>
      </c>
      <c r="C16" s="8" t="s">
        <v>25</v>
      </c>
      <c r="D16" s="9" t="s">
        <v>28</v>
      </c>
      <c r="E16" s="10" t="n">
        <v>1.34</v>
      </c>
      <c r="F16" s="11" t="n">
        <v>0.82</v>
      </c>
      <c r="G16" s="12" t="n">
        <f aca="false">$L$15</f>
        <v>100</v>
      </c>
      <c r="H16" s="13"/>
      <c r="I16" s="13"/>
      <c r="J16" s="12" t="n">
        <f aca="false">IF($H16="",0,IF($I16=1,$H16*$E16,0))</f>
        <v>0</v>
      </c>
      <c r="K16" s="13"/>
      <c r="L16" s="12" t="n">
        <f aca="false">$G16-IF($H16="",0,$H16)+$J16-IF($K16="",0,$K16)</f>
        <v>100</v>
      </c>
    </row>
    <row r="17" customFormat="false" ht="23.25" hidden="false" customHeight="true" outlineLevel="0" collapsed="false">
      <c r="B17" s="19" t="n">
        <v>3</v>
      </c>
      <c r="C17" s="19" t="s">
        <v>29</v>
      </c>
      <c r="D17" s="20" t="s">
        <v>30</v>
      </c>
      <c r="E17" s="21" t="n">
        <v>1.47</v>
      </c>
      <c r="F17" s="22" t="n">
        <v>0.65</v>
      </c>
      <c r="G17" s="23" t="n">
        <f aca="false">$L$16</f>
        <v>100</v>
      </c>
      <c r="H17" s="13"/>
      <c r="I17" s="13"/>
      <c r="J17" s="23" t="n">
        <f aca="false">IF($H17="",0,IF($I17=1,$H17*$E17,0))</f>
        <v>0</v>
      </c>
      <c r="K17" s="13"/>
      <c r="L17" s="23" t="n">
        <f aca="false">$G17-IF($H17="",0,$H17)+$J17-IF($K17="",0,$K17)</f>
        <v>100</v>
      </c>
    </row>
    <row r="18" customFormat="false" ht="15" hidden="false" customHeight="true" outlineLevel="0" collapsed="false">
      <c r="B18" s="8" t="n">
        <v>13</v>
      </c>
      <c r="C18" s="8" t="s">
        <v>29</v>
      </c>
      <c r="D18" s="9" t="s">
        <v>31</v>
      </c>
      <c r="E18" s="10" t="n">
        <v>1.28</v>
      </c>
      <c r="F18" s="11" t="n">
        <v>0.85</v>
      </c>
      <c r="G18" s="12" t="n">
        <f aca="false">$L$17</f>
        <v>100</v>
      </c>
      <c r="H18" s="13"/>
      <c r="I18" s="13"/>
      <c r="J18" s="12" t="n">
        <f aca="false">IF($H18="",0,IF($I18=1,$H18*$E18,0))</f>
        <v>0</v>
      </c>
      <c r="K18" s="13"/>
      <c r="L18" s="12" t="n">
        <f aca="false">$G18-IF($H18="",0,$H18)+$J18-IF($K18="",0,$K18)</f>
        <v>100</v>
      </c>
    </row>
    <row r="19" customFormat="false" ht="15" hidden="false" customHeight="true" outlineLevel="0" collapsed="false">
      <c r="B19" s="14" t="n">
        <v>14</v>
      </c>
      <c r="C19" s="14" t="s">
        <v>29</v>
      </c>
      <c r="D19" s="15" t="s">
        <v>32</v>
      </c>
      <c r="E19" s="16" t="n">
        <v>1.29</v>
      </c>
      <c r="F19" s="17" t="n">
        <v>0.8</v>
      </c>
      <c r="G19" s="18" t="n">
        <f aca="false">$L$18</f>
        <v>100</v>
      </c>
      <c r="H19" s="13"/>
      <c r="I19" s="13"/>
      <c r="J19" s="18" t="n">
        <f aca="false">IF($H19="",0,IF($I19=1,$H19*$E19,0))</f>
        <v>0</v>
      </c>
      <c r="K19" s="13"/>
      <c r="L19" s="18" t="n">
        <f aca="false">$G19-IF($H19="",0,$H19)+$J19-IF($K19="",0,$K19)</f>
        <v>100</v>
      </c>
    </row>
    <row r="20" customFormat="false" ht="23.25" hidden="false" customHeight="true" outlineLevel="0" collapsed="false">
      <c r="B20" s="8" t="n">
        <v>15</v>
      </c>
      <c r="C20" s="8" t="s">
        <v>29</v>
      </c>
      <c r="D20" s="9" t="s">
        <v>33</v>
      </c>
      <c r="E20" s="10" t="n">
        <v>1.42</v>
      </c>
      <c r="F20" s="11" t="n">
        <v>0.92</v>
      </c>
      <c r="G20" s="12" t="n">
        <f aca="false">$L$19</f>
        <v>100</v>
      </c>
      <c r="H20" s="13"/>
      <c r="I20" s="13"/>
      <c r="J20" s="12" t="n">
        <f aca="false">IF($H20="",0,IF($I20=1,$H20*$E20,0))</f>
        <v>0</v>
      </c>
      <c r="K20" s="13"/>
      <c r="L20" s="12" t="n">
        <f aca="false">$G20-IF($H20="",0,$H20)+$J20-IF($K20="",0,$K20)</f>
        <v>100</v>
      </c>
    </row>
    <row r="21" customFormat="false" ht="23.25" hidden="false" customHeight="true" outlineLevel="0" collapsed="false">
      <c r="B21" s="19" t="n">
        <v>7</v>
      </c>
      <c r="C21" s="19" t="s">
        <v>34</v>
      </c>
      <c r="D21" s="20" t="s">
        <v>35</v>
      </c>
      <c r="E21" s="21" t="n">
        <v>1.19</v>
      </c>
      <c r="F21" s="22" t="n">
        <v>0.77</v>
      </c>
      <c r="G21" s="23" t="n">
        <f aca="false">$L$20</f>
        <v>100</v>
      </c>
      <c r="H21" s="13"/>
      <c r="I21" s="13"/>
      <c r="J21" s="23" t="n">
        <f aca="false">IF($H21="",0,IF($I21=1,$H21*$E21,0))</f>
        <v>0</v>
      </c>
      <c r="K21" s="13"/>
      <c r="L21" s="23" t="n">
        <f aca="false">$G21-IF($H21="",0,$H21)+$J21-IF($K21="",0,$K21)</f>
        <v>100</v>
      </c>
    </row>
    <row r="22" customFormat="false" ht="23.25" hidden="false" customHeight="true" outlineLevel="0" collapsed="false">
      <c r="B22" s="19" t="n">
        <v>11</v>
      </c>
      <c r="C22" s="19" t="s">
        <v>34</v>
      </c>
      <c r="D22" s="20" t="s">
        <v>36</v>
      </c>
      <c r="E22" s="21" t="n">
        <v>1.42</v>
      </c>
      <c r="F22" s="22" t="n">
        <v>0.68</v>
      </c>
      <c r="G22" s="23" t="n">
        <f aca="false">$L$21</f>
        <v>100</v>
      </c>
      <c r="H22" s="13"/>
      <c r="I22" s="13"/>
      <c r="J22" s="23" t="n">
        <f aca="false">IF($H22="",0,IF($I22=1,$H22*$E22,0))</f>
        <v>0</v>
      </c>
      <c r="K22" s="13"/>
      <c r="L22" s="23" t="n">
        <f aca="false">$G22-IF($H22="",0,$H22)+$J22-IF($K22="",0,$K22)</f>
        <v>100</v>
      </c>
    </row>
    <row r="23" customFormat="false" ht="23.25" hidden="false" customHeight="true" outlineLevel="0" collapsed="false">
      <c r="B23" s="14" t="n">
        <v>16</v>
      </c>
      <c r="C23" s="14" t="s">
        <v>34</v>
      </c>
      <c r="D23" s="15" t="s">
        <v>37</v>
      </c>
      <c r="E23" s="16" t="n">
        <v>1.27</v>
      </c>
      <c r="F23" s="17" t="n">
        <v>0.88</v>
      </c>
      <c r="G23" s="18" t="n">
        <f aca="false">$L$22</f>
        <v>100</v>
      </c>
      <c r="H23" s="13"/>
      <c r="I23" s="13"/>
      <c r="J23" s="18" t="n">
        <f aca="false">IF($H23="",0,IF($I23=1,$H23*$E23,0))</f>
        <v>0</v>
      </c>
      <c r="K23" s="13"/>
      <c r="L23" s="18" t="n">
        <f aca="false">$G23-IF($H23="",0,$H23)+$J23-IF($K23="",0,$K23)</f>
        <v>100</v>
      </c>
    </row>
    <row r="24" customFormat="false" ht="23.25" hidden="false" customHeight="true" outlineLevel="0" collapsed="false">
      <c r="B24" s="19" t="n">
        <v>17</v>
      </c>
      <c r="C24" s="19" t="s">
        <v>34</v>
      </c>
      <c r="D24" s="20" t="s">
        <v>38</v>
      </c>
      <c r="E24" s="21" t="n">
        <v>1.17</v>
      </c>
      <c r="F24" s="22" t="n">
        <v>0.76</v>
      </c>
      <c r="G24" s="23" t="n">
        <f aca="false">$L$23</f>
        <v>100</v>
      </c>
      <c r="H24" s="13"/>
      <c r="I24" s="13"/>
      <c r="J24" s="23" t="n">
        <f aca="false">IF($H24="",0,IF($I24=1,$H24*$E24,0))</f>
        <v>0</v>
      </c>
      <c r="K24" s="13"/>
      <c r="L24" s="23" t="n">
        <f aca="false">$G24-IF($H24="",0,$H24)+$J24-IF($K24="",0,$K24)</f>
        <v>100</v>
      </c>
    </row>
    <row r="25" customFormat="false" ht="23.25" hidden="false" customHeight="true" outlineLevel="0" collapsed="false">
      <c r="B25" s="19" t="n">
        <v>18</v>
      </c>
      <c r="C25" s="19" t="s">
        <v>39</v>
      </c>
      <c r="D25" s="20" t="s">
        <v>40</v>
      </c>
      <c r="E25" s="21" t="n">
        <v>1.22</v>
      </c>
      <c r="F25" s="22" t="n">
        <v>0.68</v>
      </c>
      <c r="G25" s="23" t="n">
        <f aca="false">$L$24</f>
        <v>100</v>
      </c>
      <c r="H25" s="13"/>
      <c r="I25" s="13"/>
      <c r="J25" s="23" t="n">
        <f aca="false">IF($H25="",0,IF($I25=1,$H25*$E25,0))</f>
        <v>0</v>
      </c>
      <c r="K25" s="13"/>
      <c r="L25" s="23" t="n">
        <f aca="false">$G25-IF($H25="",0,$H25)+$J25-IF($K25="",0,$K25)</f>
        <v>100</v>
      </c>
    </row>
    <row r="26" customFormat="false" ht="23.25" hidden="false" customHeight="true" outlineLevel="0" collapsed="false">
      <c r="B26" s="8" t="n">
        <v>19</v>
      </c>
      <c r="C26" s="8" t="s">
        <v>39</v>
      </c>
      <c r="D26" s="9" t="s">
        <v>41</v>
      </c>
      <c r="E26" s="10" t="n">
        <v>2.05</v>
      </c>
      <c r="F26" s="11" t="n">
        <v>0.82</v>
      </c>
      <c r="G26" s="12" t="n">
        <f aca="false">$L$25</f>
        <v>100</v>
      </c>
      <c r="H26" s="13"/>
      <c r="I26" s="13"/>
      <c r="J26" s="12" t="n">
        <f aca="false">IF($H26="",0,IF($I26=1,$H26*$E26,0))</f>
        <v>0</v>
      </c>
      <c r="K26" s="13"/>
      <c r="L26" s="12" t="n">
        <f aca="false">$G26-IF($H26="",0,$H26)+$J26-IF($K26="",0,$K26)</f>
        <v>100</v>
      </c>
    </row>
    <row r="27" customFormat="false" ht="15" hidden="false" customHeight="true" outlineLevel="0" collapsed="false">
      <c r="B27" s="14" t="n">
        <v>20</v>
      </c>
      <c r="C27" s="14" t="s">
        <v>39</v>
      </c>
      <c r="D27" s="15" t="s">
        <v>42</v>
      </c>
      <c r="E27" s="16" t="n">
        <v>1.06</v>
      </c>
      <c r="F27" s="17" t="n">
        <v>0.99</v>
      </c>
      <c r="G27" s="18" t="n">
        <f aca="false">$L$26</f>
        <v>100</v>
      </c>
      <c r="H27" s="13"/>
      <c r="I27" s="13"/>
      <c r="J27" s="18" t="n">
        <f aca="false">IF($H27="",0,IF($I27=1,$H27*$E27,0))</f>
        <v>0</v>
      </c>
      <c r="K27" s="13"/>
      <c r="L27" s="18" t="n">
        <f aca="false">$G27-IF($H27="",0,$H27)+$J27-IF($K27="",0,$K27)</f>
        <v>100</v>
      </c>
    </row>
    <row r="28" customFormat="false" ht="15" hidden="false" customHeight="true" outlineLevel="0" collapsed="false">
      <c r="B28" s="8" t="n">
        <v>21</v>
      </c>
      <c r="C28" s="8" t="s">
        <v>43</v>
      </c>
      <c r="D28" s="9" t="s">
        <v>44</v>
      </c>
      <c r="E28" s="10" t="n">
        <v>1.27</v>
      </c>
      <c r="F28" s="11" t="n">
        <v>0.95</v>
      </c>
      <c r="G28" s="12" t="n">
        <f aca="false">$L$27</f>
        <v>100</v>
      </c>
      <c r="H28" s="13"/>
      <c r="I28" s="13"/>
      <c r="J28" s="12" t="n">
        <f aca="false">IF($H28="",0,IF($I28=1,$H28*$E28,0))</f>
        <v>0</v>
      </c>
      <c r="K28" s="13"/>
      <c r="L28" s="12" t="n">
        <f aca="false">$G28-IF($H28="",0,$H28)+$J28-IF($K28="",0,$K28)</f>
        <v>100</v>
      </c>
    </row>
    <row r="29" customFormat="false" ht="23.25" hidden="false" customHeight="true" outlineLevel="0" collapsed="false">
      <c r="B29" s="19" t="n">
        <v>22</v>
      </c>
      <c r="C29" s="19" t="s">
        <v>43</v>
      </c>
      <c r="D29" s="20" t="s">
        <v>45</v>
      </c>
      <c r="E29" s="21" t="n">
        <v>1.2</v>
      </c>
      <c r="F29" s="22" t="n">
        <v>0.8333</v>
      </c>
      <c r="G29" s="23" t="n">
        <f aca="false">$L$28</f>
        <v>100</v>
      </c>
      <c r="H29" s="13"/>
      <c r="I29" s="13"/>
      <c r="J29" s="23" t="n">
        <f aca="false">IF($H29="",0,IF($I29=1,$H29*$E29,0))</f>
        <v>0</v>
      </c>
      <c r="K29" s="13"/>
      <c r="L29" s="23" t="n">
        <f aca="false">$G29-IF($H29="",0,$H29)+$J29-IF($K29="",0,$K29)</f>
        <v>100</v>
      </c>
    </row>
    <row r="30" customFormat="false" ht="23.25" hidden="false" customHeight="true" outlineLevel="0" collapsed="false">
      <c r="B30" s="8" t="n">
        <v>23</v>
      </c>
      <c r="C30" s="8" t="s">
        <v>46</v>
      </c>
      <c r="D30" s="9" t="s">
        <v>47</v>
      </c>
      <c r="E30" s="10" t="n">
        <v>1.13</v>
      </c>
      <c r="F30" s="11" t="n">
        <v>0.885</v>
      </c>
      <c r="G30" s="12" t="n">
        <f aca="false">$L$29</f>
        <v>100</v>
      </c>
      <c r="H30" s="13"/>
      <c r="I30" s="13"/>
      <c r="J30" s="12" t="n">
        <f aca="false">IF($H30="",0,IF($I30=1,$H30*$E30,0))</f>
        <v>0</v>
      </c>
      <c r="K30" s="13"/>
      <c r="L30" s="12" t="n">
        <f aca="false">$G30-IF($H30="",0,$H30)+$J30-IF($K30="",0,$K30)</f>
        <v>100</v>
      </c>
    </row>
    <row r="31" customFormat="false" ht="15" hidden="false" customHeight="true" outlineLevel="0" collapsed="false">
      <c r="B31" s="14" t="n">
        <v>24</v>
      </c>
      <c r="C31" s="14" t="s">
        <v>46</v>
      </c>
      <c r="D31" s="15" t="s">
        <v>48</v>
      </c>
      <c r="E31" s="16" t="n">
        <v>1.47</v>
      </c>
      <c r="F31" s="17" t="n">
        <v>0.73</v>
      </c>
      <c r="G31" s="18" t="n">
        <f aca="false">$L$30</f>
        <v>100</v>
      </c>
      <c r="H31" s="13"/>
      <c r="I31" s="13"/>
      <c r="J31" s="18" t="n">
        <f aca="false">IF($H31="",0,IF($I31=1,$H31*$E31,0))</f>
        <v>0</v>
      </c>
      <c r="K31" s="13"/>
      <c r="L31" s="18" t="n">
        <f aca="false">$G31-IF($H31="",0,$H31)+$J31-IF($K31="",0,$K31)</f>
        <v>100</v>
      </c>
    </row>
    <row r="32" customFormat="false" ht="23.25" hidden="false" customHeight="true" outlineLevel="0" collapsed="false">
      <c r="B32" s="8" t="n">
        <v>25</v>
      </c>
      <c r="C32" s="8" t="s">
        <v>46</v>
      </c>
      <c r="D32" s="9" t="s">
        <v>49</v>
      </c>
      <c r="E32" s="10" t="n">
        <v>1.47</v>
      </c>
      <c r="F32" s="11" t="n">
        <v>0.76</v>
      </c>
      <c r="G32" s="12" t="n">
        <f aca="false">$L$31</f>
        <v>100</v>
      </c>
      <c r="H32" s="13"/>
      <c r="I32" s="13"/>
      <c r="J32" s="12" t="n">
        <f aca="false">IF($H32="",0,IF($I32=1,$H32*$E32,0))</f>
        <v>0</v>
      </c>
      <c r="K32" s="13"/>
      <c r="L32" s="12" t="n">
        <f aca="false">$G32-IF($H32="",0,$H32)+$J32-IF($K32="",0,$K32)</f>
        <v>100</v>
      </c>
    </row>
    <row r="33" customFormat="false" ht="15" hidden="false" customHeight="true" outlineLevel="0" collapsed="false">
      <c r="B33" s="14" t="n">
        <v>26</v>
      </c>
      <c r="C33" s="14" t="s">
        <v>46</v>
      </c>
      <c r="D33" s="15" t="s">
        <v>50</v>
      </c>
      <c r="E33" s="16" t="n">
        <v>1.19</v>
      </c>
      <c r="F33" s="17" t="n">
        <v>0.87</v>
      </c>
      <c r="G33" s="18" t="n">
        <f aca="false">$L$32</f>
        <v>100</v>
      </c>
      <c r="H33" s="13"/>
      <c r="I33" s="13"/>
      <c r="J33" s="18" t="n">
        <f aca="false">IF($H33="",0,IF($I33=1,$H33*$E33,0))</f>
        <v>0</v>
      </c>
      <c r="K33" s="13"/>
      <c r="L33" s="18" t="n">
        <f aca="false">$G33-IF($H33="",0,$H33)+$J33-IF($K33="",0,$K33)</f>
        <v>100</v>
      </c>
    </row>
    <row r="34" customFormat="false" ht="23.25" hidden="false" customHeight="true" outlineLevel="0" collapsed="false">
      <c r="B34" s="19" t="n">
        <v>27</v>
      </c>
      <c r="C34" s="19" t="s">
        <v>51</v>
      </c>
      <c r="D34" s="20" t="s">
        <v>52</v>
      </c>
      <c r="E34" s="21" t="n">
        <v>1.67</v>
      </c>
      <c r="F34" s="22" t="n">
        <v>0.55</v>
      </c>
      <c r="G34" s="23" t="n">
        <f aca="false">$L$33</f>
        <v>100</v>
      </c>
      <c r="H34" s="13"/>
      <c r="I34" s="13"/>
      <c r="J34" s="23" t="n">
        <f aca="false">IF($H34="",0,IF($I34=1,$H34*$E34,0))</f>
        <v>0</v>
      </c>
      <c r="K34" s="13"/>
      <c r="L34" s="23" t="n">
        <f aca="false">$G34-IF($H34="",0,$H34)+$J34-IF($K34="",0,$K34)</f>
        <v>100</v>
      </c>
    </row>
    <row r="35" customFormat="false" ht="15" hidden="false" customHeight="true" outlineLevel="0" collapsed="false">
      <c r="B35" s="14" t="n">
        <v>28</v>
      </c>
      <c r="C35" s="14" t="s">
        <v>51</v>
      </c>
      <c r="D35" s="15" t="s">
        <v>53</v>
      </c>
      <c r="E35" s="16" t="n">
        <v>1.12</v>
      </c>
      <c r="F35" s="17" t="n">
        <v>0.96</v>
      </c>
      <c r="G35" s="18" t="n">
        <f aca="false">$L$34</f>
        <v>100</v>
      </c>
      <c r="H35" s="13"/>
      <c r="I35" s="13"/>
      <c r="J35" s="18" t="n">
        <f aca="false">IF($H35="",0,IF($I35=1,$H35*$E35,0))</f>
        <v>0</v>
      </c>
      <c r="K35" s="13"/>
      <c r="L35" s="18" t="n">
        <f aca="false">$G35-IF($H35="",0,$H35)+$J35-IF($K35="",0,$K35)</f>
        <v>100</v>
      </c>
    </row>
    <row r="36" customFormat="false" ht="23.25" hidden="false" customHeight="true" outlineLevel="0" collapsed="false">
      <c r="B36" s="8" t="n">
        <v>30</v>
      </c>
      <c r="C36" s="8" t="s">
        <v>54</v>
      </c>
      <c r="D36" s="9" t="s">
        <v>55</v>
      </c>
      <c r="E36" s="10" t="n">
        <v>1.27</v>
      </c>
      <c r="F36" s="11" t="n">
        <v>0.95</v>
      </c>
      <c r="G36" s="12" t="n">
        <f aca="false">$L$35</f>
        <v>100</v>
      </c>
      <c r="H36" s="13"/>
      <c r="I36" s="13"/>
      <c r="J36" s="12" t="n">
        <f aca="false">IF($H36="",0,IF($I36=1,$H36*$E36,0))</f>
        <v>0</v>
      </c>
      <c r="K36" s="13"/>
      <c r="L36" s="12" t="n">
        <f aca="false">$G36-IF($H36="",0,$H36)+$J36-IF($K36="",0,$K36)</f>
        <v>100</v>
      </c>
    </row>
    <row r="37" customFormat="false" ht="15" hidden="false" customHeight="true" outlineLevel="0" collapsed="false">
      <c r="B37" s="14" t="n">
        <v>31</v>
      </c>
      <c r="C37" s="14" t="s">
        <v>54</v>
      </c>
      <c r="D37" s="15" t="s">
        <v>56</v>
      </c>
      <c r="E37" s="16" t="n">
        <v>1.32</v>
      </c>
      <c r="F37" s="17" t="n">
        <v>0.82</v>
      </c>
      <c r="G37" s="18" t="n">
        <f aca="false">$L$36</f>
        <v>100</v>
      </c>
      <c r="H37" s="13"/>
      <c r="I37" s="13"/>
      <c r="J37" s="18" t="n">
        <f aca="false">IF($H37="",0,IF($I37=1,$H37*$E37,0))</f>
        <v>0</v>
      </c>
      <c r="K37" s="13"/>
      <c r="L37" s="18" t="n">
        <f aca="false">$G37-IF($H37="",0,$H37)+$J37-IF($K37="",0,$K37)</f>
        <v>100</v>
      </c>
    </row>
    <row r="38" customFormat="false" ht="15" hidden="false" customHeight="true" outlineLevel="0" collapsed="false">
      <c r="B38" s="8" t="n">
        <v>32</v>
      </c>
      <c r="C38" s="8" t="s">
        <v>54</v>
      </c>
      <c r="D38" s="9" t="s">
        <v>57</v>
      </c>
      <c r="E38" s="10" t="n">
        <v>1.5</v>
      </c>
      <c r="F38" s="11" t="n">
        <v>0.84</v>
      </c>
      <c r="G38" s="12" t="n">
        <f aca="false">$L$37</f>
        <v>100</v>
      </c>
      <c r="H38" s="13"/>
      <c r="I38" s="13"/>
      <c r="J38" s="12" t="n">
        <f aca="false">IF($H38="",0,IF($I38=1,$H38*$E38,0))</f>
        <v>0</v>
      </c>
      <c r="K38" s="13"/>
      <c r="L38" s="12" t="n">
        <f aca="false">$G38-IF($H38="",0,$H38)+$J38-IF($K38="",0,$K38)</f>
        <v>100</v>
      </c>
    </row>
    <row r="39" customFormat="false" ht="23.25" hidden="false" customHeight="true" outlineLevel="0" collapsed="false">
      <c r="B39" s="14" t="n">
        <v>33</v>
      </c>
      <c r="C39" s="14" t="s">
        <v>54</v>
      </c>
      <c r="D39" s="15" t="s">
        <v>58</v>
      </c>
      <c r="E39" s="16" t="n">
        <v>1.52</v>
      </c>
      <c r="F39" s="17" t="n">
        <v>0.75</v>
      </c>
      <c r="G39" s="18" t="n">
        <f aca="false">$L$38</f>
        <v>100</v>
      </c>
      <c r="H39" s="13"/>
      <c r="I39" s="13"/>
      <c r="J39" s="18" t="n">
        <f aca="false">IF($H39="",0,IF($I39=1,$H39*$E39,0))</f>
        <v>0</v>
      </c>
      <c r="K39" s="13"/>
      <c r="L39" s="18" t="n">
        <f aca="false">$G39-IF($H39="",0,$H39)+$J39-IF($K39="",0,$K39)</f>
        <v>100</v>
      </c>
    </row>
    <row r="40" customFormat="false" ht="15" hidden="false" customHeight="true" outlineLevel="0" collapsed="false">
      <c r="B40" s="8" t="n">
        <v>34</v>
      </c>
      <c r="C40" s="8" t="s">
        <v>59</v>
      </c>
      <c r="D40" s="9" t="s">
        <v>60</v>
      </c>
      <c r="E40" s="10" t="n">
        <v>1.4</v>
      </c>
      <c r="F40" s="11" t="n">
        <v>0.92</v>
      </c>
      <c r="G40" s="12" t="n">
        <f aca="false">$L$39</f>
        <v>100</v>
      </c>
      <c r="H40" s="13"/>
      <c r="I40" s="13"/>
      <c r="J40" s="12" t="n">
        <f aca="false">IF($H40="",0,IF($I40=1,$H40*$E40,0))</f>
        <v>0</v>
      </c>
      <c r="K40" s="13"/>
      <c r="L40" s="12" t="n">
        <f aca="false">$G40-IF($H40="",0,$H40)+$J40-IF($K40="",0,$K40)</f>
        <v>100</v>
      </c>
    </row>
    <row r="41" customFormat="false" ht="15" hidden="false" customHeight="true" outlineLevel="0" collapsed="false">
      <c r="B41" s="14" t="n">
        <v>35</v>
      </c>
      <c r="C41" s="14" t="s">
        <v>59</v>
      </c>
      <c r="D41" s="15" t="s">
        <v>61</v>
      </c>
      <c r="E41" s="16" t="n">
        <v>1.26</v>
      </c>
      <c r="F41" s="17" t="n">
        <v>0.93</v>
      </c>
      <c r="G41" s="18" t="n">
        <f aca="false">$L$40</f>
        <v>100</v>
      </c>
      <c r="H41" s="13"/>
      <c r="I41" s="13"/>
      <c r="J41" s="18" t="n">
        <f aca="false">IF($H41="",0,IF($I41=1,$H41*$E41,0))</f>
        <v>0</v>
      </c>
      <c r="K41" s="13"/>
      <c r="L41" s="18" t="n">
        <f aca="false">$G41-IF($H41="",0,$H41)+$J41-IF($K41="",0,$K41)</f>
        <v>100</v>
      </c>
    </row>
    <row r="42" customFormat="false" ht="15" hidden="false" customHeight="true" outlineLevel="0" collapsed="false">
      <c r="B42" s="8" t="n">
        <v>36</v>
      </c>
      <c r="C42" s="8" t="s">
        <v>59</v>
      </c>
      <c r="D42" s="9" t="s">
        <v>62</v>
      </c>
      <c r="E42" s="10" t="n">
        <v>1.27</v>
      </c>
      <c r="F42" s="11" t="n">
        <v>0.8</v>
      </c>
      <c r="G42" s="12" t="n">
        <f aca="false">$L$41</f>
        <v>100</v>
      </c>
      <c r="H42" s="13"/>
      <c r="I42" s="13"/>
      <c r="J42" s="12" t="n">
        <f aca="false">IF($H42="",0,IF($I42=1,$H42*$E42,0))</f>
        <v>0</v>
      </c>
      <c r="K42" s="13"/>
      <c r="L42" s="12" t="n">
        <f aca="false">$G42-IF($H42="",0,$H42)+$J42-IF($K42="",0,$K42)</f>
        <v>100</v>
      </c>
    </row>
    <row r="43" customFormat="false" ht="23.25" hidden="false" customHeight="true" outlineLevel="0" collapsed="false">
      <c r="B43" s="19" t="n">
        <v>29</v>
      </c>
      <c r="C43" s="19" t="s">
        <v>63</v>
      </c>
      <c r="D43" s="20" t="s">
        <v>64</v>
      </c>
      <c r="E43" s="21" t="n">
        <v>1.18</v>
      </c>
      <c r="F43" s="22" t="n">
        <v>0.71</v>
      </c>
      <c r="G43" s="23" t="n">
        <f aca="false">$L$42</f>
        <v>100</v>
      </c>
      <c r="H43" s="13"/>
      <c r="I43" s="13"/>
      <c r="J43" s="23" t="n">
        <f aca="false">IF($H43="",0,IF($I43=1,$H43*$E43,0))</f>
        <v>0</v>
      </c>
      <c r="K43" s="13"/>
      <c r="L43" s="23" t="n">
        <f aca="false">$G43-IF($H43="",0,$H43)+$J43-IF($K43="",0,$K43)</f>
        <v>100</v>
      </c>
    </row>
    <row r="44" customFormat="false" ht="23.25" hidden="false" customHeight="true" outlineLevel="0" collapsed="false">
      <c r="B44" s="8" t="n">
        <v>37</v>
      </c>
      <c r="C44" s="8" t="s">
        <v>63</v>
      </c>
      <c r="D44" s="9" t="s">
        <v>65</v>
      </c>
      <c r="E44" s="10" t="n">
        <v>1.34</v>
      </c>
      <c r="F44" s="11" t="n">
        <v>0.84</v>
      </c>
      <c r="G44" s="12" t="n">
        <f aca="false">$L$43</f>
        <v>100</v>
      </c>
      <c r="H44" s="13"/>
      <c r="I44" s="13"/>
      <c r="J44" s="12" t="n">
        <f aca="false">IF($H44="",0,IF($I44=1,$H44*$E44,0))</f>
        <v>0</v>
      </c>
      <c r="K44" s="13"/>
      <c r="L44" s="12" t="n">
        <f aca="false">$G44-IF($H44="",0,$H44)+$J44-IF($K44="",0,$K44)</f>
        <v>100</v>
      </c>
    </row>
    <row r="45" customFormat="false" ht="15" hidden="false" customHeight="true" outlineLevel="0" collapsed="false">
      <c r="B45" s="14" t="n">
        <v>38</v>
      </c>
      <c r="C45" s="14" t="s">
        <v>66</v>
      </c>
      <c r="D45" s="15" t="s">
        <v>67</v>
      </c>
      <c r="E45" s="16" t="n">
        <v>1.47</v>
      </c>
      <c r="F45" s="17" t="n">
        <v>0.73</v>
      </c>
      <c r="G45" s="18" t="n">
        <f aca="false">$L$44</f>
        <v>100</v>
      </c>
      <c r="H45" s="13"/>
      <c r="I45" s="13"/>
      <c r="J45" s="18" t="n">
        <f aca="false">IF($H45="",0,IF($I45=1,$H45*$E45,0))</f>
        <v>0</v>
      </c>
      <c r="K45" s="13"/>
      <c r="L45" s="18" t="n">
        <f aca="false">$G45-IF($H45="",0,$H45)+$J45-IF($K45="",0,$K45)</f>
        <v>100</v>
      </c>
    </row>
    <row r="46" customFormat="false" ht="23.25" hidden="false" customHeight="true" outlineLevel="0" collapsed="false">
      <c r="B46" s="8" t="n">
        <v>39</v>
      </c>
      <c r="C46" s="8" t="s">
        <v>66</v>
      </c>
      <c r="D46" s="9" t="s">
        <v>68</v>
      </c>
      <c r="E46" s="10" t="n">
        <v>1.3</v>
      </c>
      <c r="F46" s="11" t="n">
        <v>0.86</v>
      </c>
      <c r="G46" s="12" t="n">
        <f aca="false">$L$45</f>
        <v>100</v>
      </c>
      <c r="H46" s="13"/>
      <c r="I46" s="13"/>
      <c r="J46" s="12" t="n">
        <f aca="false">IF($H46="",0,IF($I46=1,$H46*$E46,0))</f>
        <v>0</v>
      </c>
      <c r="K46" s="13"/>
      <c r="L46" s="12" t="n">
        <f aca="false">$G46-IF($H46="",0,$H46)+$J46-IF($K46="",0,$K46)</f>
        <v>100</v>
      </c>
    </row>
    <row r="47" customFormat="false" ht="15" hidden="false" customHeight="true" outlineLevel="0" collapsed="false">
      <c r="B47" s="14" t="n">
        <v>40</v>
      </c>
      <c r="C47" s="14" t="s">
        <v>69</v>
      </c>
      <c r="D47" s="15" t="s">
        <v>70</v>
      </c>
      <c r="E47" s="16" t="n">
        <v>1.2</v>
      </c>
      <c r="F47" s="17" t="n">
        <v>0.95</v>
      </c>
      <c r="G47" s="18" t="n">
        <f aca="false">$L$46</f>
        <v>100</v>
      </c>
      <c r="H47" s="13"/>
      <c r="I47" s="13"/>
      <c r="J47" s="18" t="n">
        <f aca="false">IF($H47="",0,IF($I47=1,$H47*$E47,0))</f>
        <v>0</v>
      </c>
      <c r="K47" s="13"/>
      <c r="L47" s="18" t="n">
        <f aca="false">$G47-IF($H47="",0,$H47)+$J47-IF($K47="",0,$K47)</f>
        <v>100</v>
      </c>
    </row>
    <row r="48" customFormat="false" ht="15" hidden="false" customHeight="true" outlineLevel="0" collapsed="false">
      <c r="B48" s="8" t="n">
        <v>41</v>
      </c>
      <c r="C48" s="8" t="s">
        <v>69</v>
      </c>
      <c r="D48" s="9" t="s">
        <v>71</v>
      </c>
      <c r="E48" s="10" t="n">
        <v>1.2</v>
      </c>
      <c r="F48" s="11" t="n">
        <v>0.91</v>
      </c>
      <c r="G48" s="12" t="n">
        <f aca="false">$L$47</f>
        <v>100</v>
      </c>
      <c r="H48" s="13"/>
      <c r="I48" s="13"/>
      <c r="J48" s="12" t="n">
        <f aca="false">IF($H48="",0,IF($I48=1,$H48*$E48,0))</f>
        <v>0</v>
      </c>
      <c r="K48" s="13"/>
      <c r="L48" s="12" t="n">
        <f aca="false">$G48-IF($H48="",0,$H48)+$J48-IF($K48="",0,$K48)</f>
        <v>100</v>
      </c>
    </row>
    <row r="49" customFormat="false" ht="15" hidden="false" customHeight="true" outlineLevel="0" collapsed="false">
      <c r="B49" s="24" t="s">
        <v>72</v>
      </c>
      <c r="C49" s="24"/>
      <c r="D49" s="24"/>
      <c r="E49" s="24"/>
      <c r="F49" s="24"/>
      <c r="G49" s="25"/>
      <c r="H49" s="26" t="n">
        <f aca="false">SUM(H8:H48)</f>
        <v>0</v>
      </c>
      <c r="I49" s="25"/>
      <c r="J49" s="25"/>
      <c r="K49" s="26" t="n">
        <f aca="false">SUM(K8:K48)</f>
        <v>0</v>
      </c>
      <c r="L49" s="27" t="n">
        <f aca="false">L48</f>
        <v>100</v>
      </c>
    </row>
    <row r="50" customFormat="false" ht="15" hidden="false" customHeight="true" outlineLevel="0" collapsed="false">
      <c r="B50" s="28" t="s">
        <v>73</v>
      </c>
      <c r="C50" s="28"/>
      <c r="D50" s="28"/>
      <c r="E50" s="28"/>
      <c r="F50" s="28"/>
      <c r="G50" s="28"/>
      <c r="H50" s="28"/>
      <c r="I50" s="28"/>
      <c r="J50" s="28"/>
      <c r="K50" s="28"/>
      <c r="L50" s="29" t="n">
        <f aca="false">L48+SUM(K8:K48)</f>
        <v>100</v>
      </c>
    </row>
    <row r="52" customFormat="false" ht="25.5" hidden="false" customHeight="true" outlineLevel="0" collapsed="false">
      <c r="B52" s="30" t="s">
        <v>74</v>
      </c>
      <c r="C52" s="30"/>
      <c r="D52" s="30"/>
      <c r="E52" s="30"/>
      <c r="F52" s="30"/>
      <c r="G52" s="30"/>
      <c r="H52" s="30"/>
      <c r="I52" s="30"/>
      <c r="J52" s="30"/>
      <c r="K52" s="30"/>
      <c r="L52" s="30"/>
    </row>
    <row r="53" customFormat="false" ht="25.5" hidden="false" customHeight="true" outlineLevel="0" collapsed="false">
      <c r="B53" s="31" t="s">
        <v>75</v>
      </c>
      <c r="C53" s="31"/>
      <c r="D53" s="31"/>
      <c r="E53" s="31"/>
      <c r="F53" s="31"/>
      <c r="G53" s="31"/>
      <c r="H53" s="31"/>
      <c r="I53" s="31"/>
      <c r="J53" s="31"/>
      <c r="K53" s="31"/>
      <c r="L53" s="31"/>
    </row>
    <row r="54" customFormat="false" ht="25.5" hidden="false" customHeight="true" outlineLevel="0" collapsed="false">
      <c r="B54" s="32" t="s">
        <v>76</v>
      </c>
      <c r="C54" s="32"/>
      <c r="D54" s="32"/>
      <c r="E54" s="32"/>
      <c r="F54" s="32"/>
      <c r="G54" s="32"/>
      <c r="H54" s="32"/>
      <c r="I54" s="32"/>
      <c r="J54" s="32"/>
      <c r="K54" s="32"/>
      <c r="L54" s="32"/>
    </row>
    <row r="56" customFormat="false" ht="15" hidden="false" customHeight="true" outlineLevel="0" collapsed="false">
      <c r="B56" s="33" t="s">
        <v>77</v>
      </c>
      <c r="C56" s="33"/>
      <c r="D56" s="33"/>
      <c r="E56" s="33"/>
      <c r="F56" s="33"/>
      <c r="G56" s="33"/>
      <c r="H56" s="33"/>
      <c r="I56" s="33"/>
      <c r="J56" s="33"/>
      <c r="K56" s="33"/>
      <c r="L56" s="33"/>
    </row>
    <row r="57" customFormat="false" ht="15" hidden="false" customHeight="true" outlineLevel="0" collapsed="false">
      <c r="B57" s="34" t="s">
        <v>78</v>
      </c>
      <c r="C57" s="34"/>
      <c r="D57" s="34"/>
      <c r="E57" s="34"/>
      <c r="F57" s="34"/>
      <c r="G57" s="34"/>
      <c r="H57" s="34"/>
      <c r="I57" s="34"/>
      <c r="J57" s="34"/>
      <c r="K57" s="34"/>
      <c r="L57" s="34"/>
    </row>
    <row r="58" customFormat="false" ht="15" hidden="false" customHeight="true" outlineLevel="0" collapsed="false">
      <c r="B58" s="6" t="s">
        <v>79</v>
      </c>
      <c r="C58" s="6"/>
      <c r="D58" s="6"/>
      <c r="E58" s="6"/>
      <c r="F58" s="6"/>
      <c r="G58" s="6"/>
      <c r="H58" s="6"/>
      <c r="I58" s="6"/>
      <c r="J58" s="6"/>
      <c r="K58" s="6"/>
      <c r="L58" s="6"/>
    </row>
    <row r="59" customFormat="false" ht="15" hidden="false" customHeight="true" outlineLevel="0" collapsed="false">
      <c r="B59" s="34" t="s">
        <v>80</v>
      </c>
      <c r="C59" s="34"/>
      <c r="D59" s="34"/>
      <c r="E59" s="34"/>
      <c r="F59" s="34"/>
      <c r="G59" s="34"/>
      <c r="H59" s="34"/>
      <c r="I59" s="34"/>
      <c r="J59" s="34"/>
      <c r="K59" s="34"/>
      <c r="L59" s="34"/>
    </row>
    <row r="60" customFormat="false" ht="15" hidden="false" customHeight="true" outlineLevel="0" collapsed="false">
      <c r="B60" s="6" t="s">
        <v>81</v>
      </c>
      <c r="C60" s="6"/>
      <c r="D60" s="6"/>
      <c r="E60" s="6"/>
      <c r="F60" s="6"/>
      <c r="G60" s="6"/>
      <c r="H60" s="6"/>
      <c r="I60" s="6"/>
      <c r="J60" s="6"/>
      <c r="K60" s="6"/>
      <c r="L60" s="6"/>
    </row>
    <row r="61" customFormat="false" ht="25.5" hidden="false" customHeight="true" outlineLevel="0" collapsed="false">
      <c r="B61" s="6" t="s">
        <v>82</v>
      </c>
      <c r="C61" s="6"/>
      <c r="D61" s="6"/>
      <c r="E61" s="6"/>
      <c r="F61" s="6"/>
      <c r="G61" s="6"/>
      <c r="H61" s="6"/>
      <c r="I61" s="6"/>
      <c r="J61" s="6"/>
      <c r="K61" s="6"/>
      <c r="L61" s="6"/>
    </row>
  </sheetData>
  <mergeCells count="15">
    <mergeCell ref="B2:L2"/>
    <mergeCell ref="B3:L3"/>
    <mergeCell ref="B5:D5"/>
    <mergeCell ref="F5:L5"/>
    <mergeCell ref="B49:F49"/>
    <mergeCell ref="B50:K50"/>
    <mergeCell ref="B52:L52"/>
    <mergeCell ref="B53:L53"/>
    <mergeCell ref="B54:L54"/>
    <mergeCell ref="B56:L56"/>
    <mergeCell ref="B57:L57"/>
    <mergeCell ref="B58:L58"/>
    <mergeCell ref="B59:L59"/>
    <mergeCell ref="B60:L60"/>
    <mergeCell ref="B61:L6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4"/>
    <col collapsed="false" customWidth="true" hidden="false" outlineLevel="0" max="5" min="3" style="0" width="15"/>
    <col collapsed="false" customWidth="true" hidden="false" outlineLevel="0" max="6" min="6" style="0" width="3"/>
  </cols>
  <sheetData>
    <row r="2" customFormat="false" ht="27.75" hidden="false" customHeight="true" outlineLevel="0" collapsed="false">
      <c r="B2" s="35" t="s">
        <v>83</v>
      </c>
      <c r="C2" s="35"/>
      <c r="D2" s="35"/>
      <c r="E2" s="35"/>
    </row>
    <row r="3" customFormat="false" ht="31.5" hidden="false" customHeight="true" outlineLevel="0" collapsed="false">
      <c r="B3" s="36" t="s">
        <v>84</v>
      </c>
      <c r="C3" s="36"/>
      <c r="D3" s="36"/>
      <c r="E3" s="36"/>
    </row>
    <row r="5" customFormat="false" ht="30" hidden="false" customHeight="true" outlineLevel="0" collapsed="false">
      <c r="B5" s="37" t="s">
        <v>85</v>
      </c>
      <c r="C5" s="38" t="s">
        <v>86</v>
      </c>
      <c r="D5" s="39" t="s">
        <v>87</v>
      </c>
      <c r="E5" s="40" t="s">
        <v>88</v>
      </c>
    </row>
    <row r="6" customFormat="false" ht="21.75" hidden="false" customHeight="true" outlineLevel="0" collapsed="false">
      <c r="B6" s="41" t="s">
        <v>89</v>
      </c>
      <c r="C6" s="42" t="s">
        <v>90</v>
      </c>
      <c r="D6" s="43" t="s">
        <v>91</v>
      </c>
      <c r="E6" s="44" t="s">
        <v>92</v>
      </c>
    </row>
    <row r="7" customFormat="false" ht="21.75" hidden="false" customHeight="true" outlineLevel="0" collapsed="false">
      <c r="B7" s="45" t="s">
        <v>93</v>
      </c>
      <c r="C7" s="42" t="s">
        <v>94</v>
      </c>
      <c r="D7" s="43" t="s">
        <v>95</v>
      </c>
      <c r="E7" s="44" t="s">
        <v>96</v>
      </c>
    </row>
    <row r="8" customFormat="false" ht="21.75" hidden="false" customHeight="true" outlineLevel="0" collapsed="false">
      <c r="B8" s="41" t="s">
        <v>97</v>
      </c>
      <c r="C8" s="42" t="s">
        <v>98</v>
      </c>
      <c r="D8" s="43" t="s">
        <v>98</v>
      </c>
      <c r="E8" s="44" t="s">
        <v>99</v>
      </c>
    </row>
    <row r="9" customFormat="false" ht="21.75" hidden="false" customHeight="true" outlineLevel="0" collapsed="false">
      <c r="B9" s="45" t="s">
        <v>100</v>
      </c>
      <c r="C9" s="42" t="s">
        <v>101</v>
      </c>
      <c r="D9" s="43" t="s">
        <v>102</v>
      </c>
      <c r="E9" s="44" t="s">
        <v>103</v>
      </c>
    </row>
    <row r="10" customFormat="false" ht="21.75" hidden="false" customHeight="true" outlineLevel="0" collapsed="false">
      <c r="B10" s="41" t="s">
        <v>104</v>
      </c>
      <c r="C10" s="42" t="s">
        <v>105</v>
      </c>
      <c r="D10" s="43" t="s">
        <v>106</v>
      </c>
      <c r="E10" s="44" t="s">
        <v>107</v>
      </c>
    </row>
    <row r="12" customFormat="false" ht="15" hidden="false" customHeight="true" outlineLevel="0" collapsed="false">
      <c r="B12" s="33" t="s">
        <v>108</v>
      </c>
      <c r="C12" s="33"/>
      <c r="D12" s="33"/>
      <c r="E12" s="33"/>
    </row>
    <row r="13" customFormat="false" ht="30" hidden="false" customHeight="true" outlineLevel="0" collapsed="false">
      <c r="B13" s="46" t="s">
        <v>109</v>
      </c>
      <c r="C13" s="46"/>
      <c r="D13" s="46"/>
      <c r="E13" s="46"/>
    </row>
    <row r="14" customFormat="false" ht="30" hidden="false" customHeight="true" outlineLevel="0" collapsed="false">
      <c r="B14" s="46" t="s">
        <v>110</v>
      </c>
      <c r="C14" s="46"/>
      <c r="D14" s="46"/>
      <c r="E14" s="46"/>
    </row>
    <row r="15" customFormat="false" ht="30" hidden="false" customHeight="true" outlineLevel="0" collapsed="false">
      <c r="B15" s="46" t="s">
        <v>111</v>
      </c>
      <c r="C15" s="46"/>
      <c r="D15" s="46"/>
      <c r="E15" s="46"/>
    </row>
    <row r="16" customFormat="false" ht="30" hidden="false" customHeight="true" outlineLevel="0" collapsed="false">
      <c r="B16" s="46" t="s">
        <v>112</v>
      </c>
      <c r="C16" s="46"/>
      <c r="D16" s="46"/>
      <c r="E16" s="46"/>
    </row>
    <row r="17" customFormat="false" ht="30" hidden="false" customHeight="true" outlineLevel="0" collapsed="false">
      <c r="B17" s="46" t="s">
        <v>113</v>
      </c>
      <c r="C17" s="46"/>
      <c r="D17" s="46"/>
      <c r="E17" s="46"/>
    </row>
    <row r="19" customFormat="false" ht="33.75" hidden="false" customHeight="true" outlineLevel="0" collapsed="false">
      <c r="B19" s="47" t="s">
        <v>114</v>
      </c>
      <c r="C19" s="47"/>
      <c r="D19" s="47"/>
      <c r="E19" s="47"/>
    </row>
  </sheetData>
  <mergeCells count="9">
    <mergeCell ref="B2:E2"/>
    <mergeCell ref="B3:E3"/>
    <mergeCell ref="B12:E12"/>
    <mergeCell ref="B13:E13"/>
    <mergeCell ref="B14:E14"/>
    <mergeCell ref="B15:E15"/>
    <mergeCell ref="B16:E16"/>
    <mergeCell ref="B17:E17"/>
    <mergeCell ref="B19:E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2026-06-04T23:49:21Z</dcterms:created>
  <dc:creator>openpyxl</dc:creator>
  <dc:description/>
  <dc:language>en-US</dc:language>
  <cp:lastModifiedBy/>
  <dcterms:modified xsi:type="dcterms:W3CDTF">2026-06-05T04:19:18Z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