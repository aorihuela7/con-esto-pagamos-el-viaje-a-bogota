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cados Alt.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<sst xmlns="http://schemas.openxmlformats.org/spreadsheetml/2006/main" count="45" uniqueCount="36">
  <si>
    <t xml:space="preserve">CALCULADORA DE MERCADOS ALTERNATIVOS  (modelo Poisson)</t>
  </si>
  <si>
    <t xml:space="preserve">Goles · Córners · Tarjetas · Tiros.  Pones el promedio de cada equipo (de Sofascore) y el modelo calcula la probabilidad real de superar la línea, la cuota justa y si la cuota de la casa tiene VALOR.</t>
  </si>
  <si>
    <t xml:space="preserve">Partido</t>
  </si>
  <si>
    <t xml:space="preserve">Mercado</t>
  </si>
  <si>
    <t xml:space="preserve">Prom Eq1</t>
  </si>
  <si>
    <t xml:space="preserve">Prom Eq2</t>
  </si>
  <si>
    <t xml:space="preserve">Línea</t>
  </si>
  <si>
    <t xml:space="preserve">λ esperado</t>
  </si>
  <si>
    <t xml:space="preserve">P(Over)</t>
  </si>
  <si>
    <t xml:space="preserve">Cuota justa</t>
  </si>
  <si>
    <t xml:space="preserve">Cuota casa</t>
  </si>
  <si>
    <t xml:space="preserve">Valor %</t>
  </si>
  <si>
    <t xml:space="preserve">¿Apostar?</t>
  </si>
  <si>
    <t xml:space="preserve">Brasil vs Haití</t>
  </si>
  <si>
    <t xml:space="preserve">Goles O</t>
  </si>
  <si>
    <t xml:space="preserve">España vs Cabo Verde</t>
  </si>
  <si>
    <t xml:space="preserve">México vs Sudáfrica</t>
  </si>
  <si>
    <t xml:space="preserve">Argentina vs Argelia</t>
  </si>
  <si>
    <t xml:space="preserve">Córners O</t>
  </si>
  <si>
    <t xml:space="preserve">Inglaterra vs Ghana</t>
  </si>
  <si>
    <t xml:space="preserve">Croacia vs Panamá</t>
  </si>
  <si>
    <t xml:space="preserve">Marruecos vs Haití</t>
  </si>
  <si>
    <t xml:space="preserve">Tarjetas O</t>
  </si>
  <si>
    <t xml:space="preserve">Argentina vs Austria</t>
  </si>
  <si>
    <t xml:space="preserve">Bélgica vs Irán</t>
  </si>
  <si>
    <t xml:space="preserve">Tiros puerta O</t>
  </si>
  <si>
    <t xml:space="preserve">Francia vs Senegal</t>
  </si>
  <si>
    <t xml:space="preserve">Alemania vs Curazao</t>
  </si>
  <si>
    <t xml:space="preserve">Cómo usarla</t>
  </si>
  <si>
    <t xml:space="preserve">•  Las filas de ejemplo traen promedios inventados (azul). Reemplázalos con los reales de Sofascore: pestaña del equipo → promedios por partido.</t>
  </si>
  <si>
    <t xml:space="preserve">•  Prom Eq1 / Prom Eq2: para GOLES, lo que anota cada equipo. Para CÓRNERS/TARJETAS/TIROS, el promedio de cada equipo en ese evento. El modelo suma ambos (λ).</t>
  </si>
  <si>
    <t xml:space="preserve">•  Línea: la del mercado (2.5 goles, 8.5 córners, 3.5 tarjetas…). Pon la cuota de tu casa en 'Cuota casa'.</t>
  </si>
  <si>
    <t xml:space="preserve">•  P(Over) = probabilidad real de superar la línea (Poisson). Cuota justa = 1 ÷ P(Over). Si la cuota de la casa es MAYOR que la justa → hay VALOR ✓.</t>
  </si>
  <si>
    <t xml:space="preserve">•  Valor % = cuánto ganas en promedio por sol apostado. Solo apuesta las filas con 'VALOR ✓'. Combínalas con Kelly de las otras hojas para el monto.</t>
  </si>
  <si>
    <t xml:space="preserve">•  Tarjetas dependen mucho del árbitro: ajusta el promedio al alza en clásicos o árbitros estrictos. Córners y tiros son los más estables.</t>
  </si>
  <si>
    <t xml:space="preserve">Por qué estos mercados son 'más seguros': no dependen de quién gana, sino de promedios que se repiten partido a partido. Por eso la varianza es menor que en el 1X2; pero ojo, cuota más baja = premio más chico. El valor manda, no la 'seguridad' aparente.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</si>
</sst>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2CC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30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</row>
    <row r="6" customFormat="false" ht="15" hidden="false" customHeight="false" outlineLevel="0" collapsed="false">
      <c r="B6" s="4" t="s">
        <v>13</v>
      </c>
      <c r="C6" s="4" t="s">
        <v>14</v>
      </c>
      <c r="D6" s="5" t="n">
        <v>2.3</v>
      </c>
      <c r="E6" s="5" t="n">
        <v>0.5</v>
      </c>
      <c r="F6" s="6" t="n">
        <v>2.5</v>
      </c>
      <c r="G6" s="7" t="n">
        <f aca="false">D6+E6</f>
        <v>2.8</v>
      </c>
      <c r="H6" s="8" t="n">
        <f aca="true">1-SUMPRODUCT(EXP(-G6)*G6^(ROW(INDIRECT("1:"&amp;(ROUNDDOWN(F6,0)+1)))-1)/FACT(ROW(INDIRECT("1:"&amp;(ROUNDDOWN(F6,0)+1)))-1))</f>
        <v>0.530546316533317</v>
      </c>
      <c r="I6" s="7" t="n">
        <f aca="false">IF(H6&gt;0,1/H6,"")</f>
        <v>1.88484957644071</v>
      </c>
      <c r="J6" s="5" t="n">
        <v>1.55</v>
      </c>
      <c r="K6" s="8" t="n">
        <f aca="false">J6*H6-1</f>
        <v>-0.177653209373358</v>
      </c>
      <c r="L6" s="9" t="str">
        <f aca="false">IF(J6="","",IF(K6&gt;0.03,"VALOR ✓",IF(K6&gt;=0,"justo","evitar")))</f>
        <v>evitar</v>
      </c>
    </row>
    <row r="7" customFormat="false" ht="15" hidden="false" customHeight="false" outlineLevel="0" collapsed="false">
      <c r="B7" s="4" t="s">
        <v>15</v>
      </c>
      <c r="C7" s="4" t="s">
        <v>14</v>
      </c>
      <c r="D7" s="5" t="n">
        <v>2.4</v>
      </c>
      <c r="E7" s="5" t="n">
        <v>0.6</v>
      </c>
      <c r="F7" s="6" t="n">
        <v>2.5</v>
      </c>
      <c r="G7" s="7" t="n">
        <f aca="false">D7+E7</f>
        <v>3</v>
      </c>
      <c r="H7" s="8" t="n">
        <f aca="true">1-SUMPRODUCT(EXP(-G7)*G7^(ROW(INDIRECT("1:"&amp;(ROUNDDOWN(F7,0)+1)))-1)/FACT(ROW(INDIRECT("1:"&amp;(ROUNDDOWN(F7,0)+1)))-1))</f>
        <v>0.576809918873157</v>
      </c>
      <c r="I7" s="7" t="n">
        <f aca="false">IF(H7&gt;0,1/H7,"")</f>
        <v>1.73367337710416</v>
      </c>
      <c r="J7" s="5" t="n">
        <v>1.5</v>
      </c>
      <c r="K7" s="8" t="n">
        <f aca="false">J7*H7-1</f>
        <v>-0.134785121690265</v>
      </c>
      <c r="L7" s="9" t="str">
        <f aca="false">IF(J7="","",IF(K7&gt;0.03,"VALOR ✓",IF(K7&gt;=0,"justo","evitar")))</f>
        <v>evitar</v>
      </c>
    </row>
    <row r="8" customFormat="false" ht="15" hidden="false" customHeight="false" outlineLevel="0" collapsed="false">
      <c r="B8" s="4" t="s">
        <v>16</v>
      </c>
      <c r="C8" s="4" t="s">
        <v>14</v>
      </c>
      <c r="D8" s="5" t="n">
        <v>1.6</v>
      </c>
      <c r="E8" s="5" t="n">
        <v>0.9</v>
      </c>
      <c r="F8" s="6" t="n">
        <v>2.5</v>
      </c>
      <c r="G8" s="7" t="n">
        <f aca="false">D8+E8</f>
        <v>2.5</v>
      </c>
      <c r="H8" s="8" t="n">
        <f aca="true">1-SUMPRODUCT(EXP(-G8)*G8^(ROW(INDIRECT("1:"&amp;(ROUNDDOWN(F8,0)+1)))-1)/FACT(ROW(INDIRECT("1:"&amp;(ROUNDDOWN(F8,0)+1)))-1))</f>
        <v>0.45618688411667</v>
      </c>
      <c r="I8" s="7" t="n">
        <f aca="false">IF(H8&gt;0,1/H8,"")</f>
        <v>2.19208406645959</v>
      </c>
      <c r="J8" s="5" t="n">
        <v>1.95</v>
      </c>
      <c r="K8" s="8" t="n">
        <f aca="false">J8*H8-1</f>
        <v>-0.110435575972493</v>
      </c>
      <c r="L8" s="9" t="str">
        <f aca="false">IF(J8="","",IF(K8&gt;0.03,"VALOR ✓",IF(K8&gt;=0,"justo","evitar")))</f>
        <v>evitar</v>
      </c>
    </row>
    <row r="9" customFormat="false" ht="15" hidden="false" customHeight="false" outlineLevel="0" collapsed="false">
      <c r="B9" s="4" t="s">
        <v>17</v>
      </c>
      <c r="C9" s="4" t="s">
        <v>18</v>
      </c>
      <c r="D9" s="5" t="n">
        <v>6</v>
      </c>
      <c r="E9" s="5" t="n">
        <v>3.5</v>
      </c>
      <c r="F9" s="6" t="n">
        <v>8.5</v>
      </c>
      <c r="G9" s="7" t="n">
        <f aca="false">D9+E9</f>
        <v>9.5</v>
      </c>
      <c r="H9" s="8" t="n">
        <f aca="true">1-SUMPRODUCT(EXP(-G9)*G9^(ROW(INDIRECT("1:"&amp;(ROUNDDOWN(F9,0)+1)))-1)/FACT(ROW(INDIRECT("1:"&amp;(ROUNDDOWN(F9,0)+1)))-1))</f>
        <v>0.60817651745506</v>
      </c>
      <c r="I9" s="7" t="n">
        <f aca="false">IF(H9&gt;0,1/H9,"")</f>
        <v>1.64425947286577</v>
      </c>
      <c r="J9" s="5" t="n">
        <v>1.85</v>
      </c>
      <c r="K9" s="8" t="n">
        <f aca="false">J9*H9-1</f>
        <v>0.125126557291862</v>
      </c>
      <c r="L9" s="9" t="str">
        <f aca="false">IF(J9="","",IF(K9&gt;0.03,"VALOR ✓",IF(K9&gt;=0,"justo","evitar")))</f>
        <v>VALOR ✓</v>
      </c>
    </row>
    <row r="10" customFormat="false" ht="15" hidden="false" customHeight="false" outlineLevel="0" collapsed="false">
      <c r="B10" s="4" t="s">
        <v>19</v>
      </c>
      <c r="C10" s="4" t="s">
        <v>18</v>
      </c>
      <c r="D10" s="5" t="n">
        <v>6.5</v>
      </c>
      <c r="E10" s="5" t="n">
        <v>3</v>
      </c>
      <c r="F10" s="6" t="n">
        <v>8.5</v>
      </c>
      <c r="G10" s="7" t="n">
        <f aca="false">D10+E10</f>
        <v>9.5</v>
      </c>
      <c r="H10" s="8" t="n">
        <f aca="true">1-SUMPRODUCT(EXP(-G10)*G10^(ROW(INDIRECT("1:"&amp;(ROUNDDOWN(F10,0)+1)))-1)/FACT(ROW(INDIRECT("1:"&amp;(ROUNDDOWN(F10,0)+1)))-1))</f>
        <v>0.60817651745506</v>
      </c>
      <c r="I10" s="7" t="n">
        <f aca="false">IF(H10&gt;0,1/H10,"")</f>
        <v>1.64425947286577</v>
      </c>
      <c r="J10" s="5" t="n">
        <v>1.8</v>
      </c>
      <c r="K10" s="8" t="n">
        <f aca="false">J10*H10-1</f>
        <v>0.0947177314191088</v>
      </c>
      <c r="L10" s="9" t="str">
        <f aca="false">IF(J10="","",IF(K10&gt;0.03,"VALOR ✓",IF(K10&gt;=0,"justo","evitar")))</f>
        <v>VALOR ✓</v>
      </c>
    </row>
    <row r="11" customFormat="false" ht="15" hidden="false" customHeight="false" outlineLevel="0" collapsed="false">
      <c r="B11" s="4" t="s">
        <v>20</v>
      </c>
      <c r="C11" s="4" t="s">
        <v>18</v>
      </c>
      <c r="D11" s="5" t="n">
        <v>5.5</v>
      </c>
      <c r="E11" s="5" t="n">
        <v>3.5</v>
      </c>
      <c r="F11" s="6" t="n">
        <v>8.5</v>
      </c>
      <c r="G11" s="7" t="n">
        <f aca="false">D11+E11</f>
        <v>9</v>
      </c>
      <c r="H11" s="8" t="n">
        <f aca="true">1-SUMPRODUCT(EXP(-G11)*G11^(ROW(INDIRECT("1:"&amp;(ROUNDDOWN(F11,0)+1)))-1)/FACT(ROW(INDIRECT("1:"&amp;(ROUNDDOWN(F11,0)+1)))-1))</f>
        <v>0.544347395677581</v>
      </c>
      <c r="I11" s="7" t="n">
        <f aca="false">IF(H11&gt;0,1/H11,"")</f>
        <v>1.83706215541868</v>
      </c>
      <c r="J11" s="5" t="n">
        <v>1.9</v>
      </c>
      <c r="K11" s="8" t="n">
        <f aca="false">J11*H11-1</f>
        <v>0.0342600517874043</v>
      </c>
      <c r="L11" s="9" t="str">
        <f aca="false">IF(J11="","",IF(K11&gt;0.03,"VALOR ✓",IF(K11&gt;=0,"justo","evitar")))</f>
        <v>VALOR ✓</v>
      </c>
    </row>
    <row r="12" customFormat="false" ht="15" hidden="false" customHeight="false" outlineLevel="0" collapsed="false">
      <c r="B12" s="4" t="s">
        <v>21</v>
      </c>
      <c r="C12" s="4" t="s">
        <v>22</v>
      </c>
      <c r="D12" s="5" t="n">
        <v>2.2</v>
      </c>
      <c r="E12" s="5" t="n">
        <v>2.4</v>
      </c>
      <c r="F12" s="6" t="n">
        <v>3.5</v>
      </c>
      <c r="G12" s="7" t="n">
        <f aca="false">D12+E12</f>
        <v>4.6</v>
      </c>
      <c r="H12" s="8" t="n">
        <f aca="true">1-SUMPRODUCT(EXP(-G12)*G12^(ROW(INDIRECT("1:"&amp;(ROUNDDOWN(F12,0)+1)))-1)/FACT(ROW(INDIRECT("1:"&amp;(ROUNDDOWN(F12,0)+1)))-1))</f>
        <v>0.674293716978553</v>
      </c>
      <c r="I12" s="7" t="n">
        <f aca="false">IF(H12&gt;0,1/H12,"")</f>
        <v>1.48303324622526</v>
      </c>
      <c r="J12" s="5" t="n">
        <v>1.8</v>
      </c>
      <c r="K12" s="8" t="n">
        <f aca="false">J12*H12-1</f>
        <v>0.213728690561395</v>
      </c>
      <c r="L12" s="9" t="str">
        <f aca="false">IF(J12="","",IF(K12&gt;0.03,"VALOR ✓",IF(K12&gt;=0,"justo","evitar")))</f>
        <v>VALOR ✓</v>
      </c>
    </row>
    <row r="13" customFormat="false" ht="15" hidden="false" customHeight="false" outlineLevel="0" collapsed="false">
      <c r="B13" s="4" t="s">
        <v>23</v>
      </c>
      <c r="C13" s="4" t="s">
        <v>22</v>
      </c>
      <c r="D13" s="5" t="n">
        <v>2.3</v>
      </c>
      <c r="E13" s="5" t="n">
        <v>2.1</v>
      </c>
      <c r="F13" s="6" t="n">
        <v>4.5</v>
      </c>
      <c r="G13" s="7" t="n">
        <f aca="false">D13+E13</f>
        <v>4.4</v>
      </c>
      <c r="H13" s="8" t="n">
        <f aca="true">1-SUMPRODUCT(EXP(-G13)*G13^(ROW(INDIRECT("1:"&amp;(ROUNDDOWN(F13,0)+1)))-1)/FACT(ROW(INDIRECT("1:"&amp;(ROUNDDOWN(F13,0)+1)))-1))</f>
        <v>0.448816191455684</v>
      </c>
      <c r="I13" s="7" t="n">
        <f aca="false">IF(H13&gt;0,1/H13,"")</f>
        <v>2.22808360981054</v>
      </c>
      <c r="J13" s="5" t="n">
        <v>2.05</v>
      </c>
      <c r="K13" s="8" t="n">
        <f aca="false">J13*H13-1</f>
        <v>-0.0799268075158472</v>
      </c>
      <c r="L13" s="9" t="str">
        <f aca="false">IF(J13="","",IF(K13&gt;0.03,"VALOR ✓",IF(K13&gt;=0,"justo","evitar")))</f>
        <v>evitar</v>
      </c>
    </row>
    <row r="14" customFormat="false" ht="15" hidden="false" customHeight="false" outlineLevel="0" collapsed="false">
      <c r="B14" s="4" t="s">
        <v>24</v>
      </c>
      <c r="C14" s="4" t="s">
        <v>22</v>
      </c>
      <c r="D14" s="5" t="n">
        <v>2</v>
      </c>
      <c r="E14" s="5" t="n">
        <v>2.6</v>
      </c>
      <c r="F14" s="6" t="n">
        <v>3.5</v>
      </c>
      <c r="G14" s="7" t="n">
        <f aca="false">D14+E14</f>
        <v>4.6</v>
      </c>
      <c r="H14" s="8" t="n">
        <f aca="true">1-SUMPRODUCT(EXP(-G14)*G14^(ROW(INDIRECT("1:"&amp;(ROUNDDOWN(F14,0)+1)))-1)/FACT(ROW(INDIRECT("1:"&amp;(ROUNDDOWN(F14,0)+1)))-1))</f>
        <v>0.674293716978553</v>
      </c>
      <c r="I14" s="7" t="n">
        <f aca="false">IF(H14&gt;0,1/H14,"")</f>
        <v>1.48303324622526</v>
      </c>
      <c r="J14" s="5" t="n">
        <v>1.75</v>
      </c>
      <c r="K14" s="8" t="n">
        <f aca="false">J14*H14-1</f>
        <v>0.180014004712467</v>
      </c>
      <c r="L14" s="9" t="str">
        <f aca="false">IF(J14="","",IF(K14&gt;0.03,"VALOR ✓",IF(K14&gt;=0,"justo","evitar")))</f>
        <v>VALOR ✓</v>
      </c>
    </row>
    <row r="15" customFormat="false" ht="15" hidden="false" customHeight="false" outlineLevel="0" collapsed="false">
      <c r="B15" s="4" t="s">
        <v>13</v>
      </c>
      <c r="C15" s="4" t="s">
        <v>25</v>
      </c>
      <c r="D15" s="5" t="n">
        <v>6</v>
      </c>
      <c r="E15" s="5" t="n">
        <v>2.5</v>
      </c>
      <c r="F15" s="6" t="n">
        <v>7.5</v>
      </c>
      <c r="G15" s="7" t="n">
        <f aca="false">D15+E15</f>
        <v>8.5</v>
      </c>
      <c r="H15" s="8" t="n">
        <f aca="true">1-SUMPRODUCT(EXP(-G15)*G15^(ROW(INDIRECT("1:"&amp;(ROUNDDOWN(F15,0)+1)))-1)/FACT(ROW(INDIRECT("1:"&amp;(ROUNDDOWN(F15,0)+1)))-1))</f>
        <v>0.614402898172847</v>
      </c>
      <c r="I15" s="7" t="n">
        <f aca="false">IF(H15&gt;0,1/H15,"")</f>
        <v>1.62759648916675</v>
      </c>
      <c r="J15" s="5" t="n">
        <v>1.85</v>
      </c>
      <c r="K15" s="8" t="n">
        <f aca="false">J15*H15-1</f>
        <v>0.136645361619768</v>
      </c>
      <c r="L15" s="9" t="str">
        <f aca="false">IF(J15="","",IF(K15&gt;0.03,"VALOR ✓",IF(K15&gt;=0,"justo","evitar")))</f>
        <v>VALOR ✓</v>
      </c>
    </row>
    <row r="16" customFormat="false" ht="15" hidden="false" customHeight="false" outlineLevel="0" collapsed="false">
      <c r="B16" s="4" t="s">
        <v>26</v>
      </c>
      <c r="C16" s="4" t="s">
        <v>25</v>
      </c>
      <c r="D16" s="5" t="n">
        <v>5.5</v>
      </c>
      <c r="E16" s="5" t="n">
        <v>3</v>
      </c>
      <c r="F16" s="6" t="n">
        <v>7.5</v>
      </c>
      <c r="G16" s="7" t="n">
        <f aca="false">D16+E16</f>
        <v>8.5</v>
      </c>
      <c r="H16" s="8" t="n">
        <f aca="true">1-SUMPRODUCT(EXP(-G16)*G16^(ROW(INDIRECT("1:"&amp;(ROUNDDOWN(F16,0)+1)))-1)/FACT(ROW(INDIRECT("1:"&amp;(ROUNDDOWN(F16,0)+1)))-1))</f>
        <v>0.614402898172847</v>
      </c>
      <c r="I16" s="7" t="n">
        <f aca="false">IF(H16&gt;0,1/H16,"")</f>
        <v>1.62759648916675</v>
      </c>
      <c r="J16" s="5" t="n">
        <v>1.9</v>
      </c>
      <c r="K16" s="8" t="n">
        <f aca="false">J16*H16-1</f>
        <v>0.16736550652841</v>
      </c>
      <c r="L16" s="9" t="str">
        <f aca="false">IF(J16="","",IF(K16&gt;0.03,"VALOR ✓",IF(K16&gt;=0,"justo","evitar")))</f>
        <v>VALOR ✓</v>
      </c>
    </row>
    <row r="17" customFormat="false" ht="15" hidden="false" customHeight="false" outlineLevel="0" collapsed="false">
      <c r="B17" s="4" t="s">
        <v>27</v>
      </c>
      <c r="C17" s="4" t="s">
        <v>25</v>
      </c>
      <c r="D17" s="5" t="n">
        <v>7</v>
      </c>
      <c r="E17" s="5" t="n">
        <v>2</v>
      </c>
      <c r="F17" s="6" t="n">
        <v>8.5</v>
      </c>
      <c r="G17" s="7" t="n">
        <f aca="false">D17+E17</f>
        <v>9</v>
      </c>
      <c r="H17" s="8" t="n">
        <f aca="true">1-SUMPRODUCT(EXP(-G17)*G17^(ROW(INDIRECT("1:"&amp;(ROUNDDOWN(F17,0)+1)))-1)/FACT(ROW(INDIRECT("1:"&amp;(ROUNDDOWN(F17,0)+1)))-1))</f>
        <v>0.544347395677581</v>
      </c>
      <c r="I17" s="7" t="n">
        <f aca="false">IF(H17&gt;0,1/H17,"")</f>
        <v>1.83706215541868</v>
      </c>
      <c r="J17" s="5" t="n">
        <v>1.95</v>
      </c>
      <c r="K17" s="8" t="n">
        <f aca="false">J17*H17-1</f>
        <v>0.0614774215712834</v>
      </c>
      <c r="L17" s="9" t="str">
        <f aca="false">IF(J17="","",IF(K17&gt;0.03,"VALOR ✓",IF(K17&gt;=0,"justo","evitar")))</f>
        <v>VALOR ✓</v>
      </c>
    </row>
    <row r="18" customFormat="false" ht="15" hidden="false" customHeight="false" outlineLevel="0" collapsed="false">
      <c r="B18" s="4"/>
      <c r="C18" s="4"/>
      <c r="D18" s="5"/>
      <c r="E18" s="5"/>
      <c r="F18" s="6"/>
      <c r="G18" s="7" t="str">
        <f aca="false">IF(AND(D18&lt;&gt;"",E18&lt;&gt;""),D18+E18,"")</f>
        <v/>
      </c>
      <c r="H18" s="8" t="str">
        <f aca="true">IF(OR(F18="",G18=""),"",1-SUMPRODUCT(EXP(-G18)*G18^(ROW(INDIRECT("1:"&amp;(ROUNDDOWN(F18,0)+1)))-1)/FACT(ROW(INDIRECT("1:"&amp;(ROUNDDOWN(F18,0)+1)))-1)))</f>
        <v/>
      </c>
      <c r="I18" s="7" t="str">
        <f aca="false">IF(H18="","",1/H18)</f>
        <v/>
      </c>
      <c r="J18" s="5"/>
      <c r="K18" s="8" t="str">
        <f aca="false">IF(OR(H18="",J18=""),"",J18*H18-1)</f>
        <v/>
      </c>
      <c r="L18" s="9" t="str">
        <f aca="false">IF(OR(K18="",J18=""),"",IF(K18&gt;0.03,"VALOR ✓",IF(K18&gt;=0,"justo","evitar")))</f>
        <v/>
      </c>
    </row>
    <row r="19" customFormat="false" ht="15" hidden="false" customHeight="false" outlineLevel="0" collapsed="false">
      <c r="B19" s="4"/>
      <c r="C19" s="4"/>
      <c r="D19" s="5"/>
      <c r="E19" s="5"/>
      <c r="F19" s="6"/>
      <c r="G19" s="7" t="str">
        <f aca="false">IF(AND(D19&lt;&gt;"",E19&lt;&gt;""),D19+E19,"")</f>
        <v/>
      </c>
      <c r="H19" s="8" t="str">
        <f aca="true">IF(OR(F19="",G19=""),"",1-SUMPRODUCT(EXP(-G19)*G19^(ROW(INDIRECT("1:"&amp;(ROUNDDOWN(F19,0)+1)))-1)/FACT(ROW(INDIRECT("1:"&amp;(ROUNDDOWN(F19,0)+1)))-1)))</f>
        <v/>
      </c>
      <c r="I19" s="7" t="str">
        <f aca="false">IF(H19="","",1/H19)</f>
        <v/>
      </c>
      <c r="J19" s="5"/>
      <c r="K19" s="8" t="str">
        <f aca="false">IF(OR(H19="",J19=""),"",J19*H19-1)</f>
        <v/>
      </c>
      <c r="L19" s="9" t="str">
        <f aca="false">IF(OR(K19="",J19=""),"",IF(K19&gt;0.03,"VALOR ✓",IF(K19&gt;=0,"justo","evitar")))</f>
        <v/>
      </c>
    </row>
    <row r="20" customFormat="false" ht="15" hidden="false" customHeight="false" outlineLevel="0" collapsed="false">
      <c r="B20" s="4"/>
      <c r="C20" s="4"/>
      <c r="D20" s="5"/>
      <c r="E20" s="5"/>
      <c r="F20" s="6"/>
      <c r="G20" s="7" t="str">
        <f aca="false">IF(AND(D20&lt;&gt;"",E20&lt;&gt;""),D20+E20,"")</f>
        <v/>
      </c>
      <c r="H20" s="8" t="str">
        <f aca="true">IF(OR(F20="",G20=""),"",1-SUMPRODUCT(EXP(-G20)*G20^(ROW(INDIRECT("1:"&amp;(ROUNDDOWN(F20,0)+1)))-1)/FACT(ROW(INDIRECT("1:"&amp;(ROUNDDOWN(F20,0)+1)))-1)))</f>
        <v/>
      </c>
      <c r="I20" s="7" t="str">
        <f aca="false">IF(H20="","",1/H20)</f>
        <v/>
      </c>
      <c r="J20" s="5"/>
      <c r="K20" s="8" t="str">
        <f aca="false">IF(OR(H20="",J20=""),"",J20*H20-1)</f>
        <v/>
      </c>
      <c r="L20" s="9" t="str">
        <f aca="false">IF(OR(K20="",J20=""),"",IF(K20&gt;0.03,"VALOR ✓",IF(K20&gt;=0,"justo","evitar")))</f>
        <v/>
      </c>
    </row>
    <row r="21" customFormat="false" ht="15" hidden="false" customHeight="false" outlineLevel="0" collapsed="false">
      <c r="B21" s="4"/>
      <c r="C21" s="4"/>
      <c r="D21" s="5"/>
      <c r="E21" s="5"/>
      <c r="F21" s="6"/>
      <c r="G21" s="7" t="str">
        <f aca="false">IF(AND(D21&lt;&gt;"",E21&lt;&gt;""),D21+E21,"")</f>
        <v/>
      </c>
      <c r="H21" s="8" t="str">
        <f aca="true">IF(OR(F21="",G21=""),"",1-SUMPRODUCT(EXP(-G21)*G21^(ROW(INDIRECT("1:"&amp;(ROUNDDOWN(F21,0)+1)))-1)/FACT(ROW(INDIRECT("1:"&amp;(ROUNDDOWN(F21,0)+1)))-1)))</f>
        <v/>
      </c>
      <c r="I21" s="7" t="str">
        <f aca="false">IF(H21="","",1/H21)</f>
        <v/>
      </c>
      <c r="J21" s="5"/>
      <c r="K21" s="8" t="str">
        <f aca="false">IF(OR(H21="",J21=""),"",J21*H21-1)</f>
        <v/>
      </c>
      <c r="L21" s="9" t="str">
        <f aca="false">IF(OR(K21="",J21=""),"",IF(K21&gt;0.03,"VALOR ✓",IF(K21&gt;=0,"justo","evitar")))</f>
        <v/>
      </c>
    </row>
    <row r="22" customFormat="false" ht="15" hidden="false" customHeight="false" outlineLevel="0" collapsed="false">
      <c r="B22" s="4"/>
      <c r="C22" s="4"/>
      <c r="D22" s="5"/>
      <c r="E22" s="5"/>
      <c r="F22" s="6"/>
      <c r="G22" s="7" t="str">
        <f aca="false">IF(AND(D22&lt;&gt;"",E22&lt;&gt;""),D22+E22,"")</f>
        <v/>
      </c>
      <c r="H22" s="8" t="str">
        <f aca="true">IF(OR(F22="",G22=""),"",1-SUMPRODUCT(EXP(-G22)*G22^(ROW(INDIRECT("1:"&amp;(ROUNDDOWN(F22,0)+1)))-1)/FACT(ROW(INDIRECT("1:"&amp;(ROUNDDOWN(F22,0)+1)))-1)))</f>
        <v/>
      </c>
      <c r="I22" s="7" t="str">
        <f aca="false">IF(H22="","",1/H22)</f>
        <v/>
      </c>
      <c r="J22" s="5"/>
      <c r="K22" s="8" t="str">
        <f aca="false">IF(OR(H22="",J22=""),"",J22*H22-1)</f>
        <v/>
      </c>
      <c r="L22" s="9" t="str">
        <f aca="false">IF(OR(K22="",J22=""),"",IF(K22&gt;0.03,"VALOR ✓",IF(K22&gt;=0,"justo","evitar")))</f>
        <v/>
      </c>
    </row>
    <row r="23" customFormat="false" ht="15" hidden="false" customHeight="false" outlineLevel="0" collapsed="false">
      <c r="B23" s="4"/>
      <c r="C23" s="4"/>
      <c r="D23" s="5"/>
      <c r="E23" s="5"/>
      <c r="F23" s="6"/>
      <c r="G23" s="7" t="str">
        <f aca="false">IF(AND(D23&lt;&gt;"",E23&lt;&gt;""),D23+E23,"")</f>
        <v/>
      </c>
      <c r="H23" s="8" t="str">
        <f aca="true">IF(OR(F23="",G23=""),"",1-SUMPRODUCT(EXP(-G23)*G23^(ROW(INDIRECT("1:"&amp;(ROUNDDOWN(F23,0)+1)))-1)/FACT(ROW(INDIRECT("1:"&amp;(ROUNDDOWN(F23,0)+1)))-1)))</f>
        <v/>
      </c>
      <c r="I23" s="7" t="str">
        <f aca="false">IF(H23="","",1/H23)</f>
        <v/>
      </c>
      <c r="J23" s="5"/>
      <c r="K23" s="8" t="str">
        <f aca="false">IF(OR(H23="",J23=""),"",J23*H23-1)</f>
        <v/>
      </c>
      <c r="L23" s="9" t="str">
        <f aca="false">IF(OR(K23="",J23=""),"",IF(K23&gt;0.03,"VALOR ✓",IF(K23&gt;=0,"justo","evitar")))</f>
        <v/>
      </c>
    </row>
    <row r="24" customFormat="false" ht="15" hidden="false" customHeight="false" outlineLevel="0" collapsed="false">
      <c r="B24" s="4"/>
      <c r="C24" s="4"/>
      <c r="D24" s="5"/>
      <c r="E24" s="5"/>
      <c r="F24" s="6"/>
      <c r="G24" s="7" t="str">
        <f aca="false">IF(AND(D24&lt;&gt;"",E24&lt;&gt;""),D24+E24,"")</f>
        <v/>
      </c>
      <c r="H24" s="8" t="str">
        <f aca="true">IF(OR(F24="",G24=""),"",1-SUMPRODUCT(EXP(-G24)*G24^(ROW(INDIRECT("1:"&amp;(ROUNDDOWN(F24,0)+1)))-1)/FACT(ROW(INDIRECT("1:"&amp;(ROUNDDOWN(F24,0)+1)))-1)))</f>
        <v/>
      </c>
      <c r="I24" s="7" t="str">
        <f aca="false">IF(H24="","",1/H24)</f>
        <v/>
      </c>
      <c r="J24" s="5"/>
      <c r="K24" s="8" t="str">
        <f aca="false">IF(OR(H24="",J24=""),"",J24*H24-1)</f>
        <v/>
      </c>
      <c r="L24" s="9" t="str">
        <f aca="false">IF(OR(K24="",J24=""),"",IF(K24&gt;0.03,"VALOR ✓",IF(K24&gt;=0,"justo","evitar")))</f>
        <v/>
      </c>
    </row>
    <row r="25" customFormat="false" ht="15" hidden="false" customHeight="false" outlineLevel="0" collapsed="false">
      <c r="B25" s="4"/>
      <c r="C25" s="4"/>
      <c r="D25" s="5"/>
      <c r="E25" s="5"/>
      <c r="F25" s="6"/>
      <c r="G25" s="7" t="str">
        <f aca="false">IF(AND(D25&lt;&gt;"",E25&lt;&gt;""),D25+E25,"")</f>
        <v/>
      </c>
      <c r="H25" s="8" t="str">
        <f aca="true">IF(OR(F25="",G25=""),"",1-SUMPRODUCT(EXP(-G25)*G25^(ROW(INDIRECT("1:"&amp;(ROUNDDOWN(F25,0)+1)))-1)/FACT(ROW(INDIRECT("1:"&amp;(ROUNDDOWN(F25,0)+1)))-1)))</f>
        <v/>
      </c>
      <c r="I25" s="7" t="str">
        <f aca="false">IF(H25="","",1/H25)</f>
        <v/>
      </c>
      <c r="J25" s="5"/>
      <c r="K25" s="8" t="str">
        <f aca="false">IF(OR(H25="",J25=""),"",J25*H25-1)</f>
        <v/>
      </c>
      <c r="L25" s="9" t="str">
        <f aca="false">IF(OR(K25="",J25=""),"",IF(K25&gt;0.03,"VALOR ✓",IF(K25&gt;=0,"justo","evitar")))</f>
        <v/>
      </c>
    </row>
    <row r="27" customFormat="false" ht="15" hidden="false" customHeight="true" outlineLevel="0" collapsed="false">
      <c r="B27" s="10" t="s">
        <v>28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customFormat="false" ht="27.75" hidden="false" customHeight="true" outlineLevel="0" collapsed="false">
      <c r="B28" s="11" t="s">
        <v>29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27.75" hidden="false" customHeight="true" outlineLevel="0" collapsed="false">
      <c r="B29" s="11" t="s">
        <v>30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27.75" hidden="false" customHeight="true" outlineLevel="0" collapsed="false">
      <c r="B30" s="11" t="s">
        <v>31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27.75" hidden="false" customHeight="true" outlineLevel="0" collapsed="false">
      <c r="B31" s="11" t="s">
        <v>32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27.75" hidden="false" customHeight="true" outlineLevel="0" collapsed="false">
      <c r="B32" s="11" t="s">
        <v>33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27.75" hidden="false" customHeight="true" outlineLevel="0" collapsed="false">
      <c r="B33" s="11" t="s">
        <v>34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5" customFormat="false" ht="43.5" hidden="false" customHeight="true" outlineLevel="0" collapsed="false">
      <c r="B35" s="12" t="s">
        <v>35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</row>
  </sheetData>
  <mergeCells count="10">
    <mergeCell ref="B2:L2"/>
    <mergeCell ref="B3:L3"/>
    <mergeCell ref="B27:L27"/>
    <mergeCell ref="B28:L28"/>
    <mergeCell ref="B29:L29"/>
    <mergeCell ref="B30:L30"/>
    <mergeCell ref="B31:L31"/>
    <mergeCell ref="B32:L32"/>
    <mergeCell ref="B33:L33"/>
    <mergeCell ref="B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2026-06-05T04:43:04Z</dcterms:created>
  <dc:creator>openpyxl</dc:creator>
  <dc:description/>
  <dc:language>en-US</dc:language>
  <cp:lastModifiedBy/>
  <dcterms:modified xsi:type="dcterms:W3CDTF">2026-06-05T04:43:04Z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