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y riesgo" sheetId="1" state="visible" r:id="rId3"/>
    <sheet name="Detalle por combinada" sheetId="2" state="visible" r:id="rId4"/>
    <sheet name="Mapa de diversificac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<sst xmlns="http://schemas.openxmlformats.org/spreadsheetml/2006/main" count="1374" uniqueCount="132">
  <si>
    <t xml:space="preserve">18 COMBINADAS PARA GANAR +S/5.000  ·  S/30 cada una</t>
  </si>
  <si>
    <t xml:space="preserve">Cada combinada paga más de S/5.000 de ganancia con solo S/30. Están mezcladas para que si falla 1 o 2 partidos NUNCA se caigan todas, y aún con 3 fallos casi siempre sobrevive alguna. Inversión total: S/540 (18 × S/30).</t>
  </si>
  <si>
    <t xml:space="preserve">Apuesta por combinada:</t>
  </si>
  <si>
    <t xml:space="preserve">#</t>
  </si>
  <si>
    <t xml:space="preserve">Cuota comb.</t>
  </si>
  <si>
    <t xml:space="preserve">Paga (S/)</t>
  </si>
  <si>
    <t xml:space="preserve">Ganancia (S/)</t>
  </si>
  <si>
    <t xml:space="preserve">Prob. mía</t>
  </si>
  <si>
    <t xml:space="preserve">Partidos</t>
  </si>
  <si>
    <t xml:space="preserve">Inversión total (18 combinadas)</t>
  </si>
  <si>
    <t xml:space="preserve">Qué tan blindadas están (si fallan partidos)</t>
  </si>
  <si>
    <t xml:space="preserve">Si falla 1 partido</t>
  </si>
  <si>
    <t xml:space="preserve">GARANTIZADO: siempre sobreviven varias combinadas. Ningún partido está en todas.</t>
  </si>
  <si>
    <t xml:space="preserve">Si fallan 2 partidos</t>
  </si>
  <si>
    <t xml:space="preserve">GARANTIZADO: siempre sobrevive al menos una combinada (probado con las 496 parejas posibles).</t>
  </si>
  <si>
    <t xml:space="preserve">Si fallan 3 partidos</t>
  </si>
  <si>
    <t xml:space="preserve">En el 88% de los casos sobrevive al menos una. Solo combinaciones muy puntuales de 3 fallos las tumban todas.</t>
  </si>
  <si>
    <t xml:space="preserve">Para tumbar las 18</t>
  </si>
  <si>
    <t xml:space="preserve">Se necesitan al menos 3 partidos fallando a la vez, y justo los que se cruzan. Un par de sorpresas no te deja en cero.</t>
  </si>
  <si>
    <t xml:space="preserve">La verdad realista (200.000+ mundiales simulados con TUS probabilidades)</t>
  </si>
  <si>
    <t xml:space="preserve">Costo total</t>
  </si>
  <si>
    <t xml:space="preserve">S/ 540</t>
  </si>
  <si>
    <t xml:space="preserve">Lo que pones en las 18 combinadas.</t>
  </si>
  <si>
    <t xml:space="preserve">Prob. de que AL MENOS una acierte</t>
  </si>
  <si>
    <t xml:space="preserve">35%</t>
  </si>
  <si>
    <t xml:space="preserve">Las otras veces (las 18 fallan) pierdes los S/540.</t>
  </si>
  <si>
    <t xml:space="preserve">Pago bruto esperado</t>
  </si>
  <si>
    <t xml:space="preserve">S/ 4,906</t>
  </si>
  <si>
    <t xml:space="preserve">Promedio a largo plazo; en la práctica es 0 o un golpe de +S/5.000.</t>
  </si>
  <si>
    <t xml:space="preserve">Resultado neto esperado</t>
  </si>
  <si>
    <t xml:space="preserve">+S/ 4,366</t>
  </si>
  <si>
    <t xml:space="preserve">Positivo SOLO si tus probabilidades son reales. Si son optimistas, baja.</t>
  </si>
  <si>
    <t xml:space="preserve">Sé honesto contigo: son combinadas de 14-17 partidos, loterías de premio gordo. Lo más probable (≈65%) es que un mundial cualquiera las tumbe todas y pierdas los S/540. El diseño NO sube tu chance de ganar el premio: reparte el riesgo para que una mala tarde no borre TODO, y para que cada acierto pague +S/5.000. Si buscas crecer la banca de forma estable, las hojas de Escalera/Kelly son mejores; esto es el billete de lotería con ventaja.</t>
  </si>
  <si>
    <t xml:space="preserve">DETALLE DE CADA COMBINADA  ·  los partidos que la forman</t>
  </si>
  <si>
    <t xml:space="preserve">COMBINADA #1   ·   cuota 196   ·   paga S/5,868   ·   ganancia S/5,838   ·   16 partidos   ·   prob mía 5.8%</t>
  </si>
  <si>
    <t xml:space="preserve">Fecha</t>
  </si>
  <si>
    <t xml:space="preserve">Partido</t>
  </si>
  <si>
    <t xml:space="preserve">Apuesta</t>
  </si>
  <si>
    <t xml:space="preserve">Cuota</t>
  </si>
  <si>
    <t xml:space="preserve">11/06</t>
  </si>
  <si>
    <t xml:space="preserve">Mexico vs Sudafrica</t>
  </si>
  <si>
    <t xml:space="preserve">Mexico gana</t>
  </si>
  <si>
    <t xml:space="preserve">13/06</t>
  </si>
  <si>
    <t xml:space="preserve">Catar vs Suiza</t>
  </si>
  <si>
    <t xml:space="preserve">Suiza gana</t>
  </si>
  <si>
    <t xml:space="preserve">Australia vs Turquia</t>
  </si>
  <si>
    <t xml:space="preserve">Turquia gana</t>
  </si>
  <si>
    <t xml:space="preserve">17/06</t>
  </si>
  <si>
    <t xml:space="preserve">Portugal vs RD Congo</t>
  </si>
  <si>
    <t xml:space="preserve">Portugal gana</t>
  </si>
  <si>
    <t xml:space="preserve">19/06</t>
  </si>
  <si>
    <t xml:space="preserve">Escocia vs Marruecos</t>
  </si>
  <si>
    <t xml:space="preserve">Marruecos gana</t>
  </si>
  <si>
    <t xml:space="preserve">21/06</t>
  </si>
  <si>
    <t xml:space="preserve">Belgica vs Iran</t>
  </si>
  <si>
    <t xml:space="preserve">Belgica gana</t>
  </si>
  <si>
    <t xml:space="preserve">Uruguay vs Cabo Verde</t>
  </si>
  <si>
    <t xml:space="preserve">Uruguay gana</t>
  </si>
  <si>
    <t xml:space="preserve">23/06</t>
  </si>
  <si>
    <t xml:space="preserve">Portugal vs Uzbekistan</t>
  </si>
  <si>
    <t xml:space="preserve">24/06</t>
  </si>
  <si>
    <t xml:space="preserve">Marruecos vs Haiti</t>
  </si>
  <si>
    <t xml:space="preserve">Sudafrica vs Corea del Sur</t>
  </si>
  <si>
    <t xml:space="preserve">Corea 2X</t>
  </si>
  <si>
    <t xml:space="preserve">Escocia vs Brasil</t>
  </si>
  <si>
    <t xml:space="preserve">Brasil gana</t>
  </si>
  <si>
    <t xml:space="preserve">25/06</t>
  </si>
  <si>
    <t xml:space="preserve">Curazao vs Costa de Marfil</t>
  </si>
  <si>
    <t xml:space="preserve">C. Marfil gana</t>
  </si>
  <si>
    <t xml:space="preserve">26/06</t>
  </si>
  <si>
    <t xml:space="preserve">Nueva Zelanda vs Belgica</t>
  </si>
  <si>
    <t xml:space="preserve">Senegal vs Irak</t>
  </si>
  <si>
    <t xml:space="preserve">Senegal gana</t>
  </si>
  <si>
    <t xml:space="preserve">27/06</t>
  </si>
  <si>
    <t xml:space="preserve">Panama vs Inglaterra</t>
  </si>
  <si>
    <t xml:space="preserve">Inglaterra gana</t>
  </si>
  <si>
    <t xml:space="preserve">Jordania vs Argentina</t>
  </si>
  <si>
    <t xml:space="preserve">Argentina gana</t>
  </si>
  <si>
    <t xml:space="preserve">COMBINADA #2   ·   cuota 193   ·   paga S/5,781   ·   ganancia S/5,751   ·   15 partidos   ·   prob mía 6.0%</t>
  </si>
  <si>
    <t xml:space="preserve">15/06</t>
  </si>
  <si>
    <t xml:space="preserve">Arabia Saudita vs Uruguay</t>
  </si>
  <si>
    <t xml:space="preserve">16/06</t>
  </si>
  <si>
    <t xml:space="preserve">Irak vs Noruega</t>
  </si>
  <si>
    <t xml:space="preserve">Noruega gana</t>
  </si>
  <si>
    <t xml:space="preserve">Austria vs Jordania</t>
  </si>
  <si>
    <t xml:space="preserve">Austria gana</t>
  </si>
  <si>
    <t xml:space="preserve">Uzbekistan vs Colombia</t>
  </si>
  <si>
    <t xml:space="preserve">Colombia gana</t>
  </si>
  <si>
    <t xml:space="preserve">20/06</t>
  </si>
  <si>
    <t xml:space="preserve">Ecuador vs Curazao</t>
  </si>
  <si>
    <t xml:space="preserve">Ecuador gana</t>
  </si>
  <si>
    <t xml:space="preserve">Panama vs Croacia</t>
  </si>
  <si>
    <t xml:space="preserve">Croacia gana</t>
  </si>
  <si>
    <t xml:space="preserve">COMBINADA #3   ·   cuota 188   ·   paga S/5,625   ·   ganancia S/5,595   ·   16 partidos   ·   prob mía 4.9%</t>
  </si>
  <si>
    <t xml:space="preserve">Espana vs Cabo Verde</t>
  </si>
  <si>
    <t xml:space="preserve">Espana gana</t>
  </si>
  <si>
    <t xml:space="preserve">Ghana vs Panama</t>
  </si>
  <si>
    <t xml:space="preserve">Ghana 1X</t>
  </si>
  <si>
    <t xml:space="preserve">18/06</t>
  </si>
  <si>
    <t xml:space="preserve">Rep. Checa vs Sudafrica</t>
  </si>
  <si>
    <t xml:space="preserve">Rep. Checa 1X</t>
  </si>
  <si>
    <t xml:space="preserve">22/06</t>
  </si>
  <si>
    <t xml:space="preserve">Francia vs Irak</t>
  </si>
  <si>
    <t xml:space="preserve">Francia gana</t>
  </si>
  <si>
    <t xml:space="preserve">Colombia vs RD Congo</t>
  </si>
  <si>
    <t xml:space="preserve">Inglaterra vs Ghana</t>
  </si>
  <si>
    <t xml:space="preserve">COMBINADA #4   ·   cuota 187   ·   paga S/5,622   ·   ganancia S/5,592   ·   16 partidos   ·   prob mía 3.9%</t>
  </si>
  <si>
    <t xml:space="preserve">Nueva Zelanda vs Egipto</t>
  </si>
  <si>
    <t xml:space="preserve">Egipto 2X</t>
  </si>
  <si>
    <t xml:space="preserve">COMBINADA #5   ·   cuota 187   ·   paga S/5,604   ·   ganancia S/5,574   ·   17 partidos   ·   prob mía 5.3%</t>
  </si>
  <si>
    <t xml:space="preserve">Francia vs Senegal</t>
  </si>
  <si>
    <t xml:space="preserve">COMBINADA #6   ·   cuota 187   ·   paga S/5,601   ·   ganancia S/5,571   ·   15 partidos   ·   prob mía 4.7%</t>
  </si>
  <si>
    <t xml:space="preserve">COMBINADA #7   ·   cuota 185   ·   paga S/5,547   ·   ganancia S/5,517   ·   17 partidos   ·   prob mía 5.9%</t>
  </si>
  <si>
    <t xml:space="preserve">Espana vs Arabia Saudita</t>
  </si>
  <si>
    <t xml:space="preserve">COMBINADA #8   ·   cuota 182   ·   paga S/5,445   ·   ganancia S/5,415   ·   17 partidos   ·   prob mía 5.7%</t>
  </si>
  <si>
    <t xml:space="preserve">COMBINADA #9   ·   cuota 181   ·   paga S/5,421   ·   ganancia S/5,391   ·   16 partidos   ·   prob mía 4.1%</t>
  </si>
  <si>
    <t xml:space="preserve">COMBINADA #10   ·   cuota 176   ·   paga S/5,286   ·   ganancia S/5,256   ·   17 partidos   ·   prob mía 3.6%</t>
  </si>
  <si>
    <t xml:space="preserve">COMBINADA #11   ·   cuota 174   ·   paga S/5,223   ·   ganancia S/5,193   ·   15 partidos   ·   prob mía 6.2%</t>
  </si>
  <si>
    <t xml:space="preserve">COMBINADA #12   ·   cuota 173   ·   paga S/5,199   ·   ganancia S/5,169   ·   15 partidos   ·   prob mía 6.1%</t>
  </si>
  <si>
    <t xml:space="preserve">14/06</t>
  </si>
  <si>
    <t xml:space="preserve">Alemania vs Curazao</t>
  </si>
  <si>
    <t xml:space="preserve">Alemania gana</t>
  </si>
  <si>
    <t xml:space="preserve">COMBINADA #13   ·   cuota 172   ·   paga S/5,157   ·   ganancia S/5,127   ·   17 partidos   ·   prob mía 5.9%</t>
  </si>
  <si>
    <t xml:space="preserve">COMBINADA #14   ·   cuota 172   ·   paga S/5,154   ·   ganancia S/5,124   ·   13 partidos   ·   prob mía 3.8%</t>
  </si>
  <si>
    <t xml:space="preserve">COMBINADA #15   ·   cuota 171   ·   paga S/5,136   ·   ganancia S/5,106   ·   17 partidos   ·   prob mía 5.6%</t>
  </si>
  <si>
    <t xml:space="preserve">COMBINADA #16   ·   cuota 171   ·   paga S/5,124   ·   ganancia S/5,094   ·   17 partidos   ·   prob mía 4.6%</t>
  </si>
  <si>
    <t xml:space="preserve">COMBINADA #17   ·   cuota 171   ·   paga S/5,121   ·   ganancia S/5,091   ·   14 partidos   ·   prob mía 4.6%</t>
  </si>
  <si>
    <t xml:space="preserve">COMBINADA #18   ·   cuota 170   ·   paga S/5,106   ·   ganancia S/5,076   ·   17 partidos   ·   prob mía 4.3%</t>
  </si>
  <si>
    <t xml:space="preserve">MAPA DE DIVERSIFICACIÓN  ·  ✓ = el partido está en esa combinada</t>
  </si>
  <si>
    <t xml:space="preserve">Mira cualquier fila: ningún partido tiene ✓ en todas las columnas. Por eso un fallo nunca tumba las 18.</t>
  </si>
  <si>
    <t xml:space="preserve">✓</t>
  </si>
  <si>
    <t xml:space="preserve"># partidos →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</si>
</sst>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S/ &quot;#,##0"/>
    <numFmt numFmtId="166" formatCode="0.0"/>
    <numFmt numFmtId="167" formatCode="0.0%"/>
    <numFmt numFmtId="168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1F3864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6E6E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DDEBF7"/>
      </patternFill>
    </fill>
    <fill>
      <patternFill patternType="solid">
        <fgColor rgb="FF1F6E6E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F6E6E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8" min="8" style="0" width="3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23.85" hidden="false" customHeight="true" outlineLevel="0" collapsed="false">
      <c r="B5" s="3" t="s">
        <v>2</v>
      </c>
      <c r="C5" s="3"/>
      <c r="D5" s="4" t="n">
        <v>30</v>
      </c>
    </row>
    <row r="7" customFormat="false" ht="27.75" hidden="false" customHeight="true" outlineLevel="0" collapsed="false">
      <c r="B7" s="5" t="s">
        <v>3</v>
      </c>
      <c r="C7" s="5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customFormat="false" ht="15" hidden="false" customHeight="false" outlineLevel="0" collapsed="false">
      <c r="B8" s="6" t="n">
        <v>1</v>
      </c>
      <c r="C8" s="7" t="n">
        <v>195.6</v>
      </c>
      <c r="D8" s="8" t="n">
        <f aca="false">$D$5*C8</f>
        <v>5868</v>
      </c>
      <c r="E8" s="9" t="n">
        <f aca="false">$D$5*C8-$D$5</f>
        <v>5838</v>
      </c>
      <c r="F8" s="10" t="n">
        <v>0.0583437463441678</v>
      </c>
      <c r="G8" s="11" t="n">
        <v>16</v>
      </c>
    </row>
    <row r="9" customFormat="false" ht="15" hidden="false" customHeight="false" outlineLevel="0" collapsed="false">
      <c r="B9" s="12" t="n">
        <v>2</v>
      </c>
      <c r="C9" s="13" t="n">
        <v>192.7</v>
      </c>
      <c r="D9" s="14" t="n">
        <f aca="false">$D$5*C9</f>
        <v>5781</v>
      </c>
      <c r="E9" s="15" t="n">
        <f aca="false">$D$5*C9-$D$5</f>
        <v>5751</v>
      </c>
      <c r="F9" s="16" t="n">
        <v>0.0602431115957872</v>
      </c>
      <c r="G9" s="17" t="n">
        <v>15</v>
      </c>
    </row>
    <row r="10" customFormat="false" ht="15" hidden="false" customHeight="false" outlineLevel="0" collapsed="false">
      <c r="B10" s="6" t="n">
        <v>3</v>
      </c>
      <c r="C10" s="7" t="n">
        <v>187.5</v>
      </c>
      <c r="D10" s="8" t="n">
        <f aca="false">$D$5*C10</f>
        <v>5625</v>
      </c>
      <c r="E10" s="9" t="n">
        <f aca="false">$D$5*C10-$D$5</f>
        <v>5595</v>
      </c>
      <c r="F10" s="10" t="n">
        <v>0.0485883382553313</v>
      </c>
      <c r="G10" s="11" t="n">
        <v>16</v>
      </c>
    </row>
    <row r="11" customFormat="false" ht="15" hidden="false" customHeight="false" outlineLevel="0" collapsed="false">
      <c r="B11" s="12" t="n">
        <v>4</v>
      </c>
      <c r="C11" s="13" t="n">
        <v>187.4</v>
      </c>
      <c r="D11" s="14" t="n">
        <f aca="false">$D$5*C11</f>
        <v>5622</v>
      </c>
      <c r="E11" s="15" t="n">
        <f aca="false">$D$5*C11-$D$5</f>
        <v>5592</v>
      </c>
      <c r="F11" s="16" t="n">
        <v>0.0390226826118371</v>
      </c>
      <c r="G11" s="17" t="n">
        <v>16</v>
      </c>
    </row>
    <row r="12" customFormat="false" ht="15" hidden="false" customHeight="false" outlineLevel="0" collapsed="false">
      <c r="B12" s="6" t="n">
        <v>5</v>
      </c>
      <c r="C12" s="7" t="n">
        <v>186.8</v>
      </c>
      <c r="D12" s="8" t="n">
        <f aca="false">$D$5*C12</f>
        <v>5604</v>
      </c>
      <c r="E12" s="9" t="n">
        <f aca="false">$D$5*C12-$D$5</f>
        <v>5574</v>
      </c>
      <c r="F12" s="10" t="n">
        <v>0.052815539201698</v>
      </c>
      <c r="G12" s="11" t="n">
        <v>17</v>
      </c>
    </row>
    <row r="13" customFormat="false" ht="15" hidden="false" customHeight="false" outlineLevel="0" collapsed="false">
      <c r="B13" s="12" t="n">
        <v>6</v>
      </c>
      <c r="C13" s="13" t="n">
        <v>186.7</v>
      </c>
      <c r="D13" s="14" t="n">
        <f aca="false">$D$5*C13</f>
        <v>5601</v>
      </c>
      <c r="E13" s="15" t="n">
        <f aca="false">$D$5*C13-$D$5</f>
        <v>5571</v>
      </c>
      <c r="F13" s="16" t="n">
        <v>0.0467395553179238</v>
      </c>
      <c r="G13" s="17" t="n">
        <v>15</v>
      </c>
    </row>
    <row r="14" customFormat="false" ht="15" hidden="false" customHeight="false" outlineLevel="0" collapsed="false">
      <c r="B14" s="6" t="n">
        <v>7</v>
      </c>
      <c r="C14" s="7" t="n">
        <v>184.9</v>
      </c>
      <c r="D14" s="8" t="n">
        <f aca="false">$D$5*C14</f>
        <v>5547</v>
      </c>
      <c r="E14" s="9" t="n">
        <f aca="false">$D$5*C14-$D$5</f>
        <v>5517</v>
      </c>
      <c r="F14" s="10" t="n">
        <v>0.0590186734672941</v>
      </c>
      <c r="G14" s="11" t="n">
        <v>17</v>
      </c>
    </row>
    <row r="15" customFormat="false" ht="15" hidden="false" customHeight="false" outlineLevel="0" collapsed="false">
      <c r="B15" s="12" t="n">
        <v>8</v>
      </c>
      <c r="C15" s="13" t="n">
        <v>181.5</v>
      </c>
      <c r="D15" s="14" t="n">
        <f aca="false">$D$5*C15</f>
        <v>5445</v>
      </c>
      <c r="E15" s="15" t="n">
        <f aca="false">$D$5*C15-$D$5</f>
        <v>5415</v>
      </c>
      <c r="F15" s="16" t="n">
        <v>0.0570624656032959</v>
      </c>
      <c r="G15" s="17" t="n">
        <v>17</v>
      </c>
    </row>
    <row r="16" customFormat="false" ht="15" hidden="false" customHeight="false" outlineLevel="0" collapsed="false">
      <c r="B16" s="6" t="n">
        <v>9</v>
      </c>
      <c r="C16" s="7" t="n">
        <v>180.7</v>
      </c>
      <c r="D16" s="8" t="n">
        <f aca="false">$D$5*C16</f>
        <v>5421</v>
      </c>
      <c r="E16" s="9" t="n">
        <f aca="false">$D$5*C16-$D$5</f>
        <v>5391</v>
      </c>
      <c r="F16" s="10" t="n">
        <v>0.0405212928742278</v>
      </c>
      <c r="G16" s="11" t="n">
        <v>16</v>
      </c>
    </row>
    <row r="17" customFormat="false" ht="15" hidden="false" customHeight="false" outlineLevel="0" collapsed="false">
      <c r="B17" s="12" t="n">
        <v>10</v>
      </c>
      <c r="C17" s="13" t="n">
        <v>176.2</v>
      </c>
      <c r="D17" s="14" t="n">
        <f aca="false">$D$5*C17</f>
        <v>5286</v>
      </c>
      <c r="E17" s="15" t="n">
        <f aca="false">$D$5*C17-$D$5</f>
        <v>5256</v>
      </c>
      <c r="F17" s="16" t="n">
        <v>0.0361183430708974</v>
      </c>
      <c r="G17" s="17" t="n">
        <v>17</v>
      </c>
    </row>
    <row r="18" customFormat="false" ht="15" hidden="false" customHeight="false" outlineLevel="0" collapsed="false">
      <c r="B18" s="6" t="n">
        <v>11</v>
      </c>
      <c r="C18" s="7" t="n">
        <v>174.1</v>
      </c>
      <c r="D18" s="8" t="n">
        <f aca="false">$D$5*C18</f>
        <v>5223</v>
      </c>
      <c r="E18" s="9" t="n">
        <f aca="false">$D$5*C18-$D$5</f>
        <v>5193</v>
      </c>
      <c r="F18" s="10" t="n">
        <v>0.0619127239476825</v>
      </c>
      <c r="G18" s="11" t="n">
        <v>15</v>
      </c>
    </row>
    <row r="19" customFormat="false" ht="15" hidden="false" customHeight="false" outlineLevel="0" collapsed="false">
      <c r="B19" s="12" t="n">
        <v>12</v>
      </c>
      <c r="C19" s="13" t="n">
        <v>173.3</v>
      </c>
      <c r="D19" s="14" t="n">
        <f aca="false">$D$5*C19</f>
        <v>5199</v>
      </c>
      <c r="E19" s="15" t="n">
        <f aca="false">$D$5*C19-$D$5</f>
        <v>5169</v>
      </c>
      <c r="F19" s="16" t="n">
        <v>0.0612604998889416</v>
      </c>
      <c r="G19" s="17" t="n">
        <v>15</v>
      </c>
    </row>
    <row r="20" customFormat="false" ht="15" hidden="false" customHeight="false" outlineLevel="0" collapsed="false">
      <c r="B20" s="6" t="n">
        <v>13</v>
      </c>
      <c r="C20" s="7" t="n">
        <v>171.9</v>
      </c>
      <c r="D20" s="8" t="n">
        <f aca="false">$D$5*C20</f>
        <v>5157</v>
      </c>
      <c r="E20" s="9" t="n">
        <f aca="false">$D$5*C20-$D$5</f>
        <v>5127</v>
      </c>
      <c r="F20" s="10" t="n">
        <v>0.0587417028469771</v>
      </c>
      <c r="G20" s="11" t="n">
        <v>17</v>
      </c>
    </row>
    <row r="21" customFormat="false" ht="15" hidden="false" customHeight="false" outlineLevel="0" collapsed="false">
      <c r="B21" s="12" t="n">
        <v>14</v>
      </c>
      <c r="C21" s="13" t="n">
        <v>171.8</v>
      </c>
      <c r="D21" s="14" t="n">
        <f aca="false">$D$5*C21</f>
        <v>5154</v>
      </c>
      <c r="E21" s="15" t="n">
        <f aca="false">$D$5*C21-$D$5</f>
        <v>5124</v>
      </c>
      <c r="F21" s="16" t="n">
        <v>0.0383109353931286</v>
      </c>
      <c r="G21" s="17" t="n">
        <v>13</v>
      </c>
    </row>
    <row r="22" customFormat="false" ht="15" hidden="false" customHeight="false" outlineLevel="0" collapsed="false">
      <c r="B22" s="6" t="n">
        <v>15</v>
      </c>
      <c r="C22" s="7" t="n">
        <v>171.2</v>
      </c>
      <c r="D22" s="8" t="n">
        <f aca="false">$D$5*C22</f>
        <v>5136</v>
      </c>
      <c r="E22" s="9" t="n">
        <f aca="false">$D$5*C22-$D$5</f>
        <v>5106</v>
      </c>
      <c r="F22" s="10" t="n">
        <v>0.0564692901902687</v>
      </c>
      <c r="G22" s="11" t="n">
        <v>17</v>
      </c>
    </row>
    <row r="23" customFormat="false" ht="15" hidden="false" customHeight="false" outlineLevel="0" collapsed="false">
      <c r="B23" s="12" t="n">
        <v>16</v>
      </c>
      <c r="C23" s="13" t="n">
        <v>170.8</v>
      </c>
      <c r="D23" s="14" t="n">
        <f aca="false">$D$5*C23</f>
        <v>5124</v>
      </c>
      <c r="E23" s="15" t="n">
        <f aca="false">$D$5*C23-$D$5</f>
        <v>5094</v>
      </c>
      <c r="F23" s="16" t="n">
        <v>0.0457950910514616</v>
      </c>
      <c r="G23" s="17" t="n">
        <v>17</v>
      </c>
    </row>
    <row r="24" customFormat="false" ht="15" hidden="false" customHeight="false" outlineLevel="0" collapsed="false">
      <c r="B24" s="6" t="n">
        <v>17</v>
      </c>
      <c r="C24" s="7" t="n">
        <v>170.7</v>
      </c>
      <c r="D24" s="8" t="n">
        <f aca="false">$D$5*C24</f>
        <v>5121</v>
      </c>
      <c r="E24" s="9" t="n">
        <f aca="false">$D$5*C24-$D$5</f>
        <v>5091</v>
      </c>
      <c r="F24" s="10" t="n">
        <v>0.0464633261074065</v>
      </c>
      <c r="G24" s="11" t="n">
        <v>14</v>
      </c>
    </row>
    <row r="25" customFormat="false" ht="15" hidden="false" customHeight="false" outlineLevel="0" collapsed="false">
      <c r="B25" s="12" t="n">
        <v>18</v>
      </c>
      <c r="C25" s="13" t="n">
        <v>170.2</v>
      </c>
      <c r="D25" s="14" t="n">
        <f aca="false">$D$5*C25</f>
        <v>5106</v>
      </c>
      <c r="E25" s="15" t="n">
        <f aca="false">$D$5*C25-$D$5</f>
        <v>5076</v>
      </c>
      <c r="F25" s="16" t="n">
        <v>0.0432783565111177</v>
      </c>
      <c r="G25" s="17" t="n">
        <v>17</v>
      </c>
    </row>
    <row r="26" customFormat="false" ht="23.85" hidden="false" customHeight="true" outlineLevel="0" collapsed="false">
      <c r="B26" s="18" t="s">
        <v>9</v>
      </c>
      <c r="C26" s="18"/>
      <c r="D26" s="19" t="n">
        <f aca="false">$D$5*18</f>
        <v>540</v>
      </c>
      <c r="E26" s="20"/>
      <c r="F26" s="20"/>
      <c r="G26" s="20"/>
    </row>
    <row r="28" customFormat="false" ht="15" hidden="false" customHeight="true" outlineLevel="0" collapsed="false">
      <c r="B28" s="21" t="s">
        <v>10</v>
      </c>
      <c r="C28" s="21"/>
      <c r="D28" s="21"/>
      <c r="E28" s="21"/>
      <c r="F28" s="21"/>
      <c r="G28" s="21"/>
    </row>
    <row r="29" customFormat="false" ht="30" hidden="false" customHeight="true" outlineLevel="0" collapsed="false">
      <c r="B29" s="22" t="s">
        <v>11</v>
      </c>
      <c r="C29" s="23" t="s">
        <v>12</v>
      </c>
      <c r="D29" s="23"/>
      <c r="E29" s="23"/>
      <c r="F29" s="23"/>
      <c r="G29" s="23"/>
    </row>
    <row r="30" customFormat="false" ht="30" hidden="false" customHeight="true" outlineLevel="0" collapsed="false">
      <c r="B30" s="22" t="s">
        <v>13</v>
      </c>
      <c r="C30" s="23" t="s">
        <v>14</v>
      </c>
      <c r="D30" s="23"/>
      <c r="E30" s="23"/>
      <c r="F30" s="23"/>
      <c r="G30" s="23"/>
    </row>
    <row r="31" customFormat="false" ht="30" hidden="false" customHeight="true" outlineLevel="0" collapsed="false">
      <c r="B31" s="24" t="s">
        <v>15</v>
      </c>
      <c r="C31" s="25" t="s">
        <v>16</v>
      </c>
      <c r="D31" s="25"/>
      <c r="E31" s="25"/>
      <c r="F31" s="25"/>
      <c r="G31" s="25"/>
    </row>
    <row r="32" customFormat="false" ht="30" hidden="false" customHeight="true" outlineLevel="0" collapsed="false">
      <c r="B32" s="26" t="s">
        <v>17</v>
      </c>
      <c r="C32" s="27" t="s">
        <v>18</v>
      </c>
      <c r="D32" s="27"/>
      <c r="E32" s="27"/>
      <c r="F32" s="27"/>
      <c r="G32" s="27"/>
    </row>
    <row r="34" customFormat="false" ht="26.85" hidden="false" customHeight="true" outlineLevel="0" collapsed="false">
      <c r="B34" s="28" t="s">
        <v>19</v>
      </c>
      <c r="C34" s="28"/>
      <c r="D34" s="28"/>
      <c r="E34" s="28"/>
      <c r="F34" s="28"/>
      <c r="G34" s="28"/>
    </row>
    <row r="35" customFormat="false" ht="25.5" hidden="false" customHeight="true" outlineLevel="0" collapsed="false">
      <c r="B35" s="29" t="s">
        <v>20</v>
      </c>
      <c r="C35" s="29"/>
      <c r="D35" s="30" t="s">
        <v>21</v>
      </c>
      <c r="E35" s="31" t="s">
        <v>22</v>
      </c>
      <c r="F35" s="31"/>
      <c r="G35" s="31"/>
    </row>
    <row r="36" customFormat="false" ht="25.5" hidden="false" customHeight="true" outlineLevel="0" collapsed="false">
      <c r="B36" s="29" t="s">
        <v>23</v>
      </c>
      <c r="C36" s="29"/>
      <c r="D36" s="30" t="s">
        <v>24</v>
      </c>
      <c r="E36" s="31" t="s">
        <v>25</v>
      </c>
      <c r="F36" s="31"/>
      <c r="G36" s="31"/>
    </row>
    <row r="37" customFormat="false" ht="25.5" hidden="false" customHeight="true" outlineLevel="0" collapsed="false">
      <c r="B37" s="29" t="s">
        <v>26</v>
      </c>
      <c r="C37" s="29"/>
      <c r="D37" s="30" t="s">
        <v>27</v>
      </c>
      <c r="E37" s="31" t="s">
        <v>28</v>
      </c>
      <c r="F37" s="31"/>
      <c r="G37" s="31"/>
    </row>
    <row r="38" customFormat="false" ht="25.5" hidden="false" customHeight="true" outlineLevel="0" collapsed="false">
      <c r="B38" s="29" t="s">
        <v>29</v>
      </c>
      <c r="C38" s="29"/>
      <c r="D38" s="30" t="s">
        <v>30</v>
      </c>
      <c r="E38" s="31" t="s">
        <v>31</v>
      </c>
      <c r="F38" s="31"/>
      <c r="G38" s="31"/>
    </row>
    <row r="40" customFormat="false" ht="69.75" hidden="false" customHeight="true" outlineLevel="0" collapsed="false">
      <c r="B40" s="32" t="s">
        <v>32</v>
      </c>
      <c r="C40" s="32"/>
      <c r="D40" s="32"/>
      <c r="E40" s="32"/>
      <c r="F40" s="32"/>
      <c r="G40" s="32"/>
    </row>
  </sheetData>
  <mergeCells count="19">
    <mergeCell ref="B2:G2"/>
    <mergeCell ref="B3:G3"/>
    <mergeCell ref="B5:C5"/>
    <mergeCell ref="B26:C26"/>
    <mergeCell ref="B28:G28"/>
    <mergeCell ref="C29:G29"/>
    <mergeCell ref="C30:G30"/>
    <mergeCell ref="C31:G31"/>
    <mergeCell ref="C32:G32"/>
    <mergeCell ref="B34:G34"/>
    <mergeCell ref="B35:C35"/>
    <mergeCell ref="E35:G35"/>
    <mergeCell ref="B36:C36"/>
    <mergeCell ref="E36:G36"/>
    <mergeCell ref="B37:C37"/>
    <mergeCell ref="E37:G37"/>
    <mergeCell ref="B38:C38"/>
    <mergeCell ref="E38:G38"/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9"/>
  </cols>
  <sheetData>
    <row r="2" customFormat="false" ht="25.5" hidden="false" customHeight="true" outlineLevel="0" collapsed="false">
      <c r="B2" s="33" t="s">
        <v>33</v>
      </c>
      <c r="C2" s="33"/>
      <c r="D2" s="33"/>
      <c r="E2" s="33"/>
    </row>
    <row r="4" customFormat="false" ht="23.85" hidden="false" customHeight="true" outlineLevel="0" collapsed="false">
      <c r="B4" s="34" t="s">
        <v>34</v>
      </c>
      <c r="C4" s="34"/>
      <c r="D4" s="34"/>
      <c r="E4" s="34"/>
    </row>
    <row r="5" customFormat="false" ht="15" hidden="false" customHeight="false" outlineLevel="0" collapsed="false">
      <c r="B5" s="35" t="s">
        <v>35</v>
      </c>
      <c r="C5" s="35" t="s">
        <v>36</v>
      </c>
      <c r="D5" s="35" t="s">
        <v>37</v>
      </c>
      <c r="E5" s="35" t="s">
        <v>38</v>
      </c>
    </row>
    <row r="6" customFormat="false" ht="15" hidden="false" customHeight="false" outlineLevel="0" collapsed="false">
      <c r="B6" s="36" t="s">
        <v>39</v>
      </c>
      <c r="C6" s="37" t="s">
        <v>40</v>
      </c>
      <c r="D6" s="38" t="s">
        <v>41</v>
      </c>
      <c r="E6" s="39" t="n">
        <v>1.45</v>
      </c>
    </row>
    <row r="7" customFormat="false" ht="15" hidden="false" customHeight="false" outlineLevel="0" collapsed="false">
      <c r="B7" s="36" t="s">
        <v>42</v>
      </c>
      <c r="C7" s="37" t="s">
        <v>43</v>
      </c>
      <c r="D7" s="38" t="s">
        <v>44</v>
      </c>
      <c r="E7" s="39" t="n">
        <v>1.26</v>
      </c>
    </row>
    <row r="8" customFormat="false" ht="15" hidden="false" customHeight="false" outlineLevel="0" collapsed="false">
      <c r="B8" s="36" t="s">
        <v>42</v>
      </c>
      <c r="C8" s="37" t="s">
        <v>45</v>
      </c>
      <c r="D8" s="38" t="s">
        <v>46</v>
      </c>
      <c r="E8" s="39" t="n">
        <v>1.8</v>
      </c>
    </row>
    <row r="9" customFormat="false" ht="15" hidden="false" customHeight="false" outlineLevel="0" collapsed="false">
      <c r="B9" s="36" t="s">
        <v>47</v>
      </c>
      <c r="C9" s="37" t="s">
        <v>48</v>
      </c>
      <c r="D9" s="38" t="s">
        <v>49</v>
      </c>
      <c r="E9" s="39" t="n">
        <v>1.28</v>
      </c>
    </row>
    <row r="10" customFormat="false" ht="15" hidden="false" customHeight="false" outlineLevel="0" collapsed="false">
      <c r="B10" s="36" t="s">
        <v>50</v>
      </c>
      <c r="C10" s="37" t="s">
        <v>51</v>
      </c>
      <c r="D10" s="38" t="s">
        <v>52</v>
      </c>
      <c r="E10" s="39" t="n">
        <v>2.05</v>
      </c>
    </row>
    <row r="11" customFormat="false" ht="15" hidden="false" customHeight="false" outlineLevel="0" collapsed="false">
      <c r="B11" s="36" t="s">
        <v>53</v>
      </c>
      <c r="C11" s="37" t="s">
        <v>54</v>
      </c>
      <c r="D11" s="38" t="s">
        <v>55</v>
      </c>
      <c r="E11" s="39" t="n">
        <v>1.47</v>
      </c>
    </row>
    <row r="12" customFormat="false" ht="15" hidden="false" customHeight="false" outlineLevel="0" collapsed="false">
      <c r="B12" s="36" t="s">
        <v>53</v>
      </c>
      <c r="C12" s="37" t="s">
        <v>56</v>
      </c>
      <c r="D12" s="38" t="s">
        <v>57</v>
      </c>
      <c r="E12" s="39" t="n">
        <v>1.47</v>
      </c>
    </row>
    <row r="13" customFormat="false" ht="15" hidden="false" customHeight="false" outlineLevel="0" collapsed="false">
      <c r="B13" s="36" t="s">
        <v>58</v>
      </c>
      <c r="C13" s="37" t="s">
        <v>59</v>
      </c>
      <c r="D13" s="38" t="s">
        <v>49</v>
      </c>
      <c r="E13" s="39" t="n">
        <v>1.27</v>
      </c>
    </row>
    <row r="14" customFormat="false" ht="15" hidden="false" customHeight="false" outlineLevel="0" collapsed="false">
      <c r="B14" s="36" t="s">
        <v>60</v>
      </c>
      <c r="C14" s="37" t="s">
        <v>61</v>
      </c>
      <c r="D14" s="38" t="s">
        <v>52</v>
      </c>
      <c r="E14" s="39" t="n">
        <v>1.26</v>
      </c>
    </row>
    <row r="15" customFormat="false" ht="15" hidden="false" customHeight="false" outlineLevel="0" collapsed="false">
      <c r="B15" s="36" t="s">
        <v>60</v>
      </c>
      <c r="C15" s="37" t="s">
        <v>62</v>
      </c>
      <c r="D15" s="38" t="s">
        <v>63</v>
      </c>
      <c r="E15" s="39" t="n">
        <v>1.27</v>
      </c>
    </row>
    <row r="16" customFormat="false" ht="15" hidden="false" customHeight="false" outlineLevel="0" collapsed="false">
      <c r="B16" s="36" t="s">
        <v>60</v>
      </c>
      <c r="C16" s="37" t="s">
        <v>64</v>
      </c>
      <c r="D16" s="38" t="s">
        <v>65</v>
      </c>
      <c r="E16" s="39" t="n">
        <v>1.4</v>
      </c>
    </row>
    <row r="17" customFormat="false" ht="15" hidden="false" customHeight="false" outlineLevel="0" collapsed="false">
      <c r="B17" s="36" t="s">
        <v>66</v>
      </c>
      <c r="C17" s="37" t="s">
        <v>67</v>
      </c>
      <c r="D17" s="38" t="s">
        <v>68</v>
      </c>
      <c r="E17" s="39" t="n">
        <v>1.34</v>
      </c>
    </row>
    <row r="18" customFormat="false" ht="15" hidden="false" customHeight="false" outlineLevel="0" collapsed="false">
      <c r="B18" s="36" t="s">
        <v>69</v>
      </c>
      <c r="C18" s="37" t="s">
        <v>70</v>
      </c>
      <c r="D18" s="38" t="s">
        <v>55</v>
      </c>
      <c r="E18" s="39" t="n">
        <v>1.3</v>
      </c>
    </row>
    <row r="19" customFormat="false" ht="15" hidden="false" customHeight="false" outlineLevel="0" collapsed="false">
      <c r="B19" s="36" t="s">
        <v>69</v>
      </c>
      <c r="C19" s="37" t="s">
        <v>71</v>
      </c>
      <c r="D19" s="38" t="s">
        <v>72</v>
      </c>
      <c r="E19" s="39" t="n">
        <v>1.47</v>
      </c>
    </row>
    <row r="20" customFormat="false" ht="15" hidden="false" customHeight="false" outlineLevel="0" collapsed="false">
      <c r="B20" s="36" t="s">
        <v>73</v>
      </c>
      <c r="C20" s="37" t="s">
        <v>74</v>
      </c>
      <c r="D20" s="38" t="s">
        <v>75</v>
      </c>
      <c r="E20" s="39" t="n">
        <v>1.2</v>
      </c>
    </row>
    <row r="21" customFormat="false" ht="15" hidden="false" customHeight="false" outlineLevel="0" collapsed="false">
      <c r="B21" s="36" t="s">
        <v>73</v>
      </c>
      <c r="C21" s="37" t="s">
        <v>76</v>
      </c>
      <c r="D21" s="38" t="s">
        <v>77</v>
      </c>
      <c r="E21" s="39" t="n">
        <v>1.2</v>
      </c>
    </row>
    <row r="23" customFormat="false" ht="23.85" hidden="false" customHeight="true" outlineLevel="0" collapsed="false">
      <c r="B23" s="34" t="s">
        <v>78</v>
      </c>
      <c r="C23" s="34"/>
      <c r="D23" s="34"/>
      <c r="E23" s="34"/>
    </row>
    <row r="24" customFormat="false" ht="15" hidden="false" customHeight="false" outlineLevel="0" collapsed="false">
      <c r="B24" s="35" t="s">
        <v>35</v>
      </c>
      <c r="C24" s="35" t="s">
        <v>36</v>
      </c>
      <c r="D24" s="35" t="s">
        <v>37</v>
      </c>
      <c r="E24" s="35" t="s">
        <v>38</v>
      </c>
    </row>
    <row r="25" customFormat="false" ht="15" hidden="false" customHeight="false" outlineLevel="0" collapsed="false">
      <c r="B25" s="36" t="s">
        <v>42</v>
      </c>
      <c r="C25" s="37" t="s">
        <v>43</v>
      </c>
      <c r="D25" s="38" t="s">
        <v>44</v>
      </c>
      <c r="E25" s="39" t="n">
        <v>1.26</v>
      </c>
    </row>
    <row r="26" customFormat="false" ht="15" hidden="false" customHeight="false" outlineLevel="0" collapsed="false">
      <c r="B26" s="36" t="s">
        <v>42</v>
      </c>
      <c r="C26" s="37" t="s">
        <v>45</v>
      </c>
      <c r="D26" s="38" t="s">
        <v>46</v>
      </c>
      <c r="E26" s="39" t="n">
        <v>1.8</v>
      </c>
    </row>
    <row r="27" customFormat="false" ht="15" hidden="false" customHeight="false" outlineLevel="0" collapsed="false">
      <c r="B27" s="36" t="s">
        <v>79</v>
      </c>
      <c r="C27" s="37" t="s">
        <v>80</v>
      </c>
      <c r="D27" s="38" t="s">
        <v>57</v>
      </c>
      <c r="E27" s="39" t="n">
        <v>1.5</v>
      </c>
    </row>
    <row r="28" customFormat="false" ht="15" hidden="false" customHeight="false" outlineLevel="0" collapsed="false">
      <c r="B28" s="36" t="s">
        <v>81</v>
      </c>
      <c r="C28" s="37" t="s">
        <v>82</v>
      </c>
      <c r="D28" s="38" t="s">
        <v>83</v>
      </c>
      <c r="E28" s="39" t="n">
        <v>1.23</v>
      </c>
    </row>
    <row r="29" customFormat="false" ht="15" hidden="false" customHeight="false" outlineLevel="0" collapsed="false">
      <c r="B29" s="36" t="s">
        <v>81</v>
      </c>
      <c r="C29" s="37" t="s">
        <v>84</v>
      </c>
      <c r="D29" s="38" t="s">
        <v>85</v>
      </c>
      <c r="E29" s="39" t="n">
        <v>1.34</v>
      </c>
    </row>
    <row r="30" customFormat="false" ht="15" hidden="false" customHeight="false" outlineLevel="0" collapsed="false">
      <c r="B30" s="36" t="s">
        <v>47</v>
      </c>
      <c r="C30" s="37" t="s">
        <v>48</v>
      </c>
      <c r="D30" s="38" t="s">
        <v>49</v>
      </c>
      <c r="E30" s="39" t="n">
        <v>1.28</v>
      </c>
    </row>
    <row r="31" customFormat="false" ht="15" hidden="false" customHeight="false" outlineLevel="0" collapsed="false">
      <c r="B31" s="36" t="s">
        <v>47</v>
      </c>
      <c r="C31" s="37" t="s">
        <v>86</v>
      </c>
      <c r="D31" s="38" t="s">
        <v>87</v>
      </c>
      <c r="E31" s="39" t="n">
        <v>1.42</v>
      </c>
    </row>
    <row r="32" customFormat="false" ht="15" hidden="false" customHeight="false" outlineLevel="0" collapsed="false">
      <c r="B32" s="36" t="s">
        <v>50</v>
      </c>
      <c r="C32" s="37" t="s">
        <v>51</v>
      </c>
      <c r="D32" s="38" t="s">
        <v>52</v>
      </c>
      <c r="E32" s="39" t="n">
        <v>2.05</v>
      </c>
    </row>
    <row r="33" customFormat="false" ht="15" hidden="false" customHeight="false" outlineLevel="0" collapsed="false">
      <c r="B33" s="36" t="s">
        <v>88</v>
      </c>
      <c r="C33" s="37" t="s">
        <v>89</v>
      </c>
      <c r="D33" s="38" t="s">
        <v>90</v>
      </c>
      <c r="E33" s="39" t="n">
        <v>1.27</v>
      </c>
    </row>
    <row r="34" customFormat="false" ht="15" hidden="false" customHeight="false" outlineLevel="0" collapsed="false">
      <c r="B34" s="36" t="s">
        <v>53</v>
      </c>
      <c r="C34" s="37" t="s">
        <v>54</v>
      </c>
      <c r="D34" s="38" t="s">
        <v>55</v>
      </c>
      <c r="E34" s="39" t="n">
        <v>1.47</v>
      </c>
    </row>
    <row r="35" customFormat="false" ht="15" hidden="false" customHeight="false" outlineLevel="0" collapsed="false">
      <c r="B35" s="36" t="s">
        <v>58</v>
      </c>
      <c r="C35" s="37" t="s">
        <v>91</v>
      </c>
      <c r="D35" s="38" t="s">
        <v>92</v>
      </c>
      <c r="E35" s="39" t="n">
        <v>1.5</v>
      </c>
    </row>
    <row r="36" customFormat="false" ht="15" hidden="false" customHeight="false" outlineLevel="0" collapsed="false">
      <c r="B36" s="36" t="s">
        <v>60</v>
      </c>
      <c r="C36" s="37" t="s">
        <v>64</v>
      </c>
      <c r="D36" s="38" t="s">
        <v>65</v>
      </c>
      <c r="E36" s="39" t="n">
        <v>1.4</v>
      </c>
    </row>
    <row r="37" customFormat="false" ht="15" hidden="false" customHeight="false" outlineLevel="0" collapsed="false">
      <c r="B37" s="36" t="s">
        <v>60</v>
      </c>
      <c r="C37" s="37" t="s">
        <v>62</v>
      </c>
      <c r="D37" s="38" t="s">
        <v>63</v>
      </c>
      <c r="E37" s="39" t="n">
        <v>1.27</v>
      </c>
    </row>
    <row r="38" customFormat="false" ht="15" hidden="false" customHeight="false" outlineLevel="0" collapsed="false">
      <c r="B38" s="36" t="s">
        <v>60</v>
      </c>
      <c r="C38" s="37" t="s">
        <v>61</v>
      </c>
      <c r="D38" s="38" t="s">
        <v>52</v>
      </c>
      <c r="E38" s="39" t="n">
        <v>1.26</v>
      </c>
    </row>
    <row r="39" customFormat="false" ht="15" hidden="false" customHeight="false" outlineLevel="0" collapsed="false">
      <c r="B39" s="36" t="s">
        <v>69</v>
      </c>
      <c r="C39" s="37" t="s">
        <v>71</v>
      </c>
      <c r="D39" s="38" t="s">
        <v>72</v>
      </c>
      <c r="E39" s="39" t="n">
        <v>1.47</v>
      </c>
    </row>
    <row r="41" customFormat="false" ht="23.85" hidden="false" customHeight="true" outlineLevel="0" collapsed="false">
      <c r="B41" s="34" t="s">
        <v>93</v>
      </c>
      <c r="C41" s="34"/>
      <c r="D41" s="34"/>
      <c r="E41" s="34"/>
    </row>
    <row r="42" customFormat="false" ht="15" hidden="false" customHeight="false" outlineLevel="0" collapsed="false">
      <c r="B42" s="35" t="s">
        <v>35</v>
      </c>
      <c r="C42" s="35" t="s">
        <v>36</v>
      </c>
      <c r="D42" s="35" t="s">
        <v>37</v>
      </c>
      <c r="E42" s="35" t="s">
        <v>38</v>
      </c>
    </row>
    <row r="43" customFormat="false" ht="15" hidden="false" customHeight="false" outlineLevel="0" collapsed="false">
      <c r="B43" s="36" t="s">
        <v>42</v>
      </c>
      <c r="C43" s="37" t="s">
        <v>43</v>
      </c>
      <c r="D43" s="38" t="s">
        <v>44</v>
      </c>
      <c r="E43" s="39" t="n">
        <v>1.26</v>
      </c>
    </row>
    <row r="44" customFormat="false" ht="15" hidden="false" customHeight="false" outlineLevel="0" collapsed="false">
      <c r="B44" s="36" t="s">
        <v>42</v>
      </c>
      <c r="C44" s="37" t="s">
        <v>45</v>
      </c>
      <c r="D44" s="38" t="s">
        <v>46</v>
      </c>
      <c r="E44" s="39" t="n">
        <v>1.8</v>
      </c>
    </row>
    <row r="45" customFormat="false" ht="15" hidden="false" customHeight="false" outlineLevel="0" collapsed="false">
      <c r="B45" s="36" t="s">
        <v>79</v>
      </c>
      <c r="C45" s="37" t="s">
        <v>94</v>
      </c>
      <c r="D45" s="38" t="s">
        <v>95</v>
      </c>
      <c r="E45" s="39" t="n">
        <v>1.1</v>
      </c>
    </row>
    <row r="46" customFormat="false" ht="15" hidden="false" customHeight="false" outlineLevel="0" collapsed="false">
      <c r="B46" s="36" t="s">
        <v>79</v>
      </c>
      <c r="C46" s="37" t="s">
        <v>80</v>
      </c>
      <c r="D46" s="38" t="s">
        <v>57</v>
      </c>
      <c r="E46" s="39" t="n">
        <v>1.5</v>
      </c>
    </row>
    <row r="47" customFormat="false" ht="15" hidden="false" customHeight="false" outlineLevel="0" collapsed="false">
      <c r="B47" s="36" t="s">
        <v>81</v>
      </c>
      <c r="C47" s="37" t="s">
        <v>84</v>
      </c>
      <c r="D47" s="38" t="s">
        <v>85</v>
      </c>
      <c r="E47" s="39" t="n">
        <v>1.34</v>
      </c>
    </row>
    <row r="48" customFormat="false" ht="15" hidden="false" customHeight="false" outlineLevel="0" collapsed="false">
      <c r="B48" s="36" t="s">
        <v>47</v>
      </c>
      <c r="C48" s="37" t="s">
        <v>96</v>
      </c>
      <c r="D48" s="38" t="s">
        <v>97</v>
      </c>
      <c r="E48" s="39" t="n">
        <v>1.29</v>
      </c>
    </row>
    <row r="49" customFormat="false" ht="15" hidden="false" customHeight="false" outlineLevel="0" collapsed="false">
      <c r="B49" s="36" t="s">
        <v>98</v>
      </c>
      <c r="C49" s="37" t="s">
        <v>99</v>
      </c>
      <c r="D49" s="38" t="s">
        <v>100</v>
      </c>
      <c r="E49" s="39" t="n">
        <v>1.27</v>
      </c>
    </row>
    <row r="50" customFormat="false" ht="15" hidden="false" customHeight="false" outlineLevel="0" collapsed="false">
      <c r="B50" s="36" t="s">
        <v>50</v>
      </c>
      <c r="C50" s="37" t="s">
        <v>51</v>
      </c>
      <c r="D50" s="38" t="s">
        <v>52</v>
      </c>
      <c r="E50" s="39" t="n">
        <v>2.05</v>
      </c>
    </row>
    <row r="51" customFormat="false" ht="15" hidden="false" customHeight="false" outlineLevel="0" collapsed="false">
      <c r="B51" s="36" t="s">
        <v>53</v>
      </c>
      <c r="C51" s="37" t="s">
        <v>54</v>
      </c>
      <c r="D51" s="38" t="s">
        <v>55</v>
      </c>
      <c r="E51" s="39" t="n">
        <v>1.47</v>
      </c>
    </row>
    <row r="52" customFormat="false" ht="15" hidden="false" customHeight="false" outlineLevel="0" collapsed="false">
      <c r="B52" s="36" t="s">
        <v>101</v>
      </c>
      <c r="C52" s="37" t="s">
        <v>102</v>
      </c>
      <c r="D52" s="38" t="s">
        <v>103</v>
      </c>
      <c r="E52" s="39" t="n">
        <v>1.12</v>
      </c>
    </row>
    <row r="53" customFormat="false" ht="15" hidden="false" customHeight="false" outlineLevel="0" collapsed="false">
      <c r="B53" s="36" t="s">
        <v>58</v>
      </c>
      <c r="C53" s="37" t="s">
        <v>104</v>
      </c>
      <c r="D53" s="38" t="s">
        <v>87</v>
      </c>
      <c r="E53" s="39" t="n">
        <v>1.52</v>
      </c>
    </row>
    <row r="54" customFormat="false" ht="15" hidden="false" customHeight="false" outlineLevel="0" collapsed="false">
      <c r="B54" s="36" t="s">
        <v>58</v>
      </c>
      <c r="C54" s="37" t="s">
        <v>105</v>
      </c>
      <c r="D54" s="38" t="s">
        <v>75</v>
      </c>
      <c r="E54" s="39" t="n">
        <v>1.32</v>
      </c>
    </row>
    <row r="55" customFormat="false" ht="15" hidden="false" customHeight="false" outlineLevel="0" collapsed="false">
      <c r="B55" s="36" t="s">
        <v>60</v>
      </c>
      <c r="C55" s="37" t="s">
        <v>64</v>
      </c>
      <c r="D55" s="38" t="s">
        <v>65</v>
      </c>
      <c r="E55" s="39" t="n">
        <v>1.4</v>
      </c>
    </row>
    <row r="56" customFormat="false" ht="15" hidden="false" customHeight="false" outlineLevel="0" collapsed="false">
      <c r="B56" s="36" t="s">
        <v>60</v>
      </c>
      <c r="C56" s="37" t="s">
        <v>61</v>
      </c>
      <c r="D56" s="38" t="s">
        <v>52</v>
      </c>
      <c r="E56" s="39" t="n">
        <v>1.26</v>
      </c>
    </row>
    <row r="57" customFormat="false" ht="15" hidden="false" customHeight="false" outlineLevel="0" collapsed="false">
      <c r="B57" s="36" t="s">
        <v>69</v>
      </c>
      <c r="C57" s="37" t="s">
        <v>70</v>
      </c>
      <c r="D57" s="38" t="s">
        <v>55</v>
      </c>
      <c r="E57" s="39" t="n">
        <v>1.3</v>
      </c>
    </row>
    <row r="58" customFormat="false" ht="15" hidden="false" customHeight="false" outlineLevel="0" collapsed="false">
      <c r="B58" s="36" t="s">
        <v>69</v>
      </c>
      <c r="C58" s="37" t="s">
        <v>71</v>
      </c>
      <c r="D58" s="38" t="s">
        <v>72</v>
      </c>
      <c r="E58" s="39" t="n">
        <v>1.47</v>
      </c>
    </row>
    <row r="60" customFormat="false" ht="23.85" hidden="false" customHeight="true" outlineLevel="0" collapsed="false">
      <c r="B60" s="34" t="s">
        <v>106</v>
      </c>
      <c r="C60" s="34"/>
      <c r="D60" s="34"/>
      <c r="E60" s="34"/>
    </row>
    <row r="61" customFormat="false" ht="15" hidden="false" customHeight="false" outlineLevel="0" collapsed="false">
      <c r="B61" s="35" t="s">
        <v>35</v>
      </c>
      <c r="C61" s="35" t="s">
        <v>36</v>
      </c>
      <c r="D61" s="35" t="s">
        <v>37</v>
      </c>
      <c r="E61" s="35" t="s">
        <v>38</v>
      </c>
    </row>
    <row r="62" customFormat="false" ht="15" hidden="false" customHeight="false" outlineLevel="0" collapsed="false">
      <c r="B62" s="36" t="s">
        <v>39</v>
      </c>
      <c r="C62" s="37" t="s">
        <v>40</v>
      </c>
      <c r="D62" s="38" t="s">
        <v>41</v>
      </c>
      <c r="E62" s="39" t="n">
        <v>1.45</v>
      </c>
    </row>
    <row r="63" customFormat="false" ht="15" hidden="false" customHeight="false" outlineLevel="0" collapsed="false">
      <c r="B63" s="36" t="s">
        <v>79</v>
      </c>
      <c r="C63" s="37" t="s">
        <v>80</v>
      </c>
      <c r="D63" s="38" t="s">
        <v>57</v>
      </c>
      <c r="E63" s="39" t="n">
        <v>1.5</v>
      </c>
    </row>
    <row r="64" customFormat="false" ht="15" hidden="false" customHeight="false" outlineLevel="0" collapsed="false">
      <c r="B64" s="36" t="s">
        <v>81</v>
      </c>
      <c r="C64" s="37" t="s">
        <v>82</v>
      </c>
      <c r="D64" s="38" t="s">
        <v>83</v>
      </c>
      <c r="E64" s="39" t="n">
        <v>1.23</v>
      </c>
    </row>
    <row r="65" customFormat="false" ht="15" hidden="false" customHeight="false" outlineLevel="0" collapsed="false">
      <c r="B65" s="36" t="s">
        <v>81</v>
      </c>
      <c r="C65" s="37" t="s">
        <v>84</v>
      </c>
      <c r="D65" s="38" t="s">
        <v>85</v>
      </c>
      <c r="E65" s="39" t="n">
        <v>1.34</v>
      </c>
    </row>
    <row r="66" customFormat="false" ht="15" hidden="false" customHeight="false" outlineLevel="0" collapsed="false">
      <c r="B66" s="36" t="s">
        <v>47</v>
      </c>
      <c r="C66" s="37" t="s">
        <v>96</v>
      </c>
      <c r="D66" s="38" t="s">
        <v>97</v>
      </c>
      <c r="E66" s="39" t="n">
        <v>1.29</v>
      </c>
    </row>
    <row r="67" customFormat="false" ht="15" hidden="false" customHeight="false" outlineLevel="0" collapsed="false">
      <c r="B67" s="36" t="s">
        <v>50</v>
      </c>
      <c r="C67" s="37" t="s">
        <v>51</v>
      </c>
      <c r="D67" s="38" t="s">
        <v>52</v>
      </c>
      <c r="E67" s="39" t="n">
        <v>2.05</v>
      </c>
    </row>
    <row r="68" customFormat="false" ht="15" hidden="false" customHeight="false" outlineLevel="0" collapsed="false">
      <c r="B68" s="36" t="s">
        <v>88</v>
      </c>
      <c r="C68" s="37" t="s">
        <v>89</v>
      </c>
      <c r="D68" s="38" t="s">
        <v>90</v>
      </c>
      <c r="E68" s="39" t="n">
        <v>1.27</v>
      </c>
    </row>
    <row r="69" customFormat="false" ht="15" hidden="false" customHeight="false" outlineLevel="0" collapsed="false">
      <c r="B69" s="36" t="s">
        <v>53</v>
      </c>
      <c r="C69" s="37" t="s">
        <v>54</v>
      </c>
      <c r="D69" s="38" t="s">
        <v>55</v>
      </c>
      <c r="E69" s="39" t="n">
        <v>1.47</v>
      </c>
    </row>
    <row r="70" customFormat="false" ht="15" hidden="false" customHeight="false" outlineLevel="0" collapsed="false">
      <c r="B70" s="36" t="s">
        <v>53</v>
      </c>
      <c r="C70" s="37" t="s">
        <v>56</v>
      </c>
      <c r="D70" s="38" t="s">
        <v>57</v>
      </c>
      <c r="E70" s="39" t="n">
        <v>1.47</v>
      </c>
    </row>
    <row r="71" customFormat="false" ht="15" hidden="false" customHeight="false" outlineLevel="0" collapsed="false">
      <c r="B71" s="36" t="s">
        <v>53</v>
      </c>
      <c r="C71" s="37" t="s">
        <v>107</v>
      </c>
      <c r="D71" s="38" t="s">
        <v>108</v>
      </c>
      <c r="E71" s="39" t="n">
        <v>1.19</v>
      </c>
    </row>
    <row r="72" customFormat="false" ht="15" hidden="false" customHeight="false" outlineLevel="0" collapsed="false">
      <c r="B72" s="36" t="s">
        <v>58</v>
      </c>
      <c r="C72" s="37" t="s">
        <v>104</v>
      </c>
      <c r="D72" s="38" t="s">
        <v>87</v>
      </c>
      <c r="E72" s="39" t="n">
        <v>1.52</v>
      </c>
    </row>
    <row r="73" customFormat="false" ht="15" hidden="false" customHeight="false" outlineLevel="0" collapsed="false">
      <c r="B73" s="36" t="s">
        <v>58</v>
      </c>
      <c r="C73" s="37" t="s">
        <v>59</v>
      </c>
      <c r="D73" s="38" t="s">
        <v>49</v>
      </c>
      <c r="E73" s="39" t="n">
        <v>1.27</v>
      </c>
    </row>
    <row r="74" customFormat="false" ht="15" hidden="false" customHeight="false" outlineLevel="0" collapsed="false">
      <c r="B74" s="36" t="s">
        <v>60</v>
      </c>
      <c r="C74" s="37" t="s">
        <v>64</v>
      </c>
      <c r="D74" s="38" t="s">
        <v>65</v>
      </c>
      <c r="E74" s="39" t="n">
        <v>1.4</v>
      </c>
    </row>
    <row r="75" customFormat="false" ht="15" hidden="false" customHeight="false" outlineLevel="0" collapsed="false">
      <c r="B75" s="36" t="s">
        <v>60</v>
      </c>
      <c r="C75" s="37" t="s">
        <v>62</v>
      </c>
      <c r="D75" s="38" t="s">
        <v>63</v>
      </c>
      <c r="E75" s="39" t="n">
        <v>1.27</v>
      </c>
    </row>
    <row r="76" customFormat="false" ht="15" hidden="false" customHeight="false" outlineLevel="0" collapsed="false">
      <c r="B76" s="36" t="s">
        <v>69</v>
      </c>
      <c r="C76" s="37" t="s">
        <v>71</v>
      </c>
      <c r="D76" s="38" t="s">
        <v>72</v>
      </c>
      <c r="E76" s="39" t="n">
        <v>1.47</v>
      </c>
    </row>
    <row r="77" customFormat="false" ht="15" hidden="false" customHeight="false" outlineLevel="0" collapsed="false">
      <c r="B77" s="36" t="s">
        <v>73</v>
      </c>
      <c r="C77" s="37" t="s">
        <v>74</v>
      </c>
      <c r="D77" s="38" t="s">
        <v>75</v>
      </c>
      <c r="E77" s="39" t="n">
        <v>1.2</v>
      </c>
    </row>
    <row r="79" customFormat="false" ht="23.85" hidden="false" customHeight="true" outlineLevel="0" collapsed="false">
      <c r="B79" s="34" t="s">
        <v>109</v>
      </c>
      <c r="C79" s="34"/>
      <c r="D79" s="34"/>
      <c r="E79" s="34"/>
    </row>
    <row r="80" customFormat="false" ht="15" hidden="false" customHeight="false" outlineLevel="0" collapsed="false">
      <c r="B80" s="35" t="s">
        <v>35</v>
      </c>
      <c r="C80" s="35" t="s">
        <v>36</v>
      </c>
      <c r="D80" s="35" t="s">
        <v>37</v>
      </c>
      <c r="E80" s="35" t="s">
        <v>38</v>
      </c>
    </row>
    <row r="81" customFormat="false" ht="15" hidden="false" customHeight="false" outlineLevel="0" collapsed="false">
      <c r="B81" s="36" t="s">
        <v>39</v>
      </c>
      <c r="C81" s="37" t="s">
        <v>40</v>
      </c>
      <c r="D81" s="38" t="s">
        <v>41</v>
      </c>
      <c r="E81" s="39" t="n">
        <v>1.45</v>
      </c>
    </row>
    <row r="82" customFormat="false" ht="15" hidden="false" customHeight="false" outlineLevel="0" collapsed="false">
      <c r="B82" s="36" t="s">
        <v>42</v>
      </c>
      <c r="C82" s="37" t="s">
        <v>45</v>
      </c>
      <c r="D82" s="38" t="s">
        <v>46</v>
      </c>
      <c r="E82" s="39" t="n">
        <v>1.8</v>
      </c>
    </row>
    <row r="83" customFormat="false" ht="15" hidden="false" customHeight="false" outlineLevel="0" collapsed="false">
      <c r="B83" s="36" t="s">
        <v>79</v>
      </c>
      <c r="C83" s="37" t="s">
        <v>80</v>
      </c>
      <c r="D83" s="38" t="s">
        <v>57</v>
      </c>
      <c r="E83" s="39" t="n">
        <v>1.5</v>
      </c>
    </row>
    <row r="84" customFormat="false" ht="15" hidden="false" customHeight="false" outlineLevel="0" collapsed="false">
      <c r="B84" s="36" t="s">
        <v>81</v>
      </c>
      <c r="C84" s="37" t="s">
        <v>110</v>
      </c>
      <c r="D84" s="38" t="s">
        <v>103</v>
      </c>
      <c r="E84" s="39" t="n">
        <v>1.47</v>
      </c>
    </row>
    <row r="85" customFormat="false" ht="15" hidden="false" customHeight="false" outlineLevel="0" collapsed="false">
      <c r="B85" s="36" t="s">
        <v>98</v>
      </c>
      <c r="C85" s="37" t="s">
        <v>99</v>
      </c>
      <c r="D85" s="38" t="s">
        <v>100</v>
      </c>
      <c r="E85" s="39" t="n">
        <v>1.27</v>
      </c>
    </row>
    <row r="86" customFormat="false" ht="15" hidden="false" customHeight="false" outlineLevel="0" collapsed="false">
      <c r="B86" s="36" t="s">
        <v>88</v>
      </c>
      <c r="C86" s="37" t="s">
        <v>89</v>
      </c>
      <c r="D86" s="38" t="s">
        <v>90</v>
      </c>
      <c r="E86" s="39" t="n">
        <v>1.27</v>
      </c>
    </row>
    <row r="87" customFormat="false" ht="15" hidden="false" customHeight="false" outlineLevel="0" collapsed="false">
      <c r="B87" s="36" t="s">
        <v>53</v>
      </c>
      <c r="C87" s="37" t="s">
        <v>107</v>
      </c>
      <c r="D87" s="38" t="s">
        <v>108</v>
      </c>
      <c r="E87" s="39" t="n">
        <v>1.19</v>
      </c>
    </row>
    <row r="88" customFormat="false" ht="15" hidden="false" customHeight="false" outlineLevel="0" collapsed="false">
      <c r="B88" s="36" t="s">
        <v>58</v>
      </c>
      <c r="C88" s="37" t="s">
        <v>91</v>
      </c>
      <c r="D88" s="38" t="s">
        <v>92</v>
      </c>
      <c r="E88" s="39" t="n">
        <v>1.5</v>
      </c>
    </row>
    <row r="89" customFormat="false" ht="15" hidden="false" customHeight="false" outlineLevel="0" collapsed="false">
      <c r="B89" s="36" t="s">
        <v>58</v>
      </c>
      <c r="C89" s="37" t="s">
        <v>104</v>
      </c>
      <c r="D89" s="38" t="s">
        <v>87</v>
      </c>
      <c r="E89" s="39" t="n">
        <v>1.52</v>
      </c>
    </row>
    <row r="90" customFormat="false" ht="15" hidden="false" customHeight="false" outlineLevel="0" collapsed="false">
      <c r="B90" s="36" t="s">
        <v>58</v>
      </c>
      <c r="C90" s="37" t="s">
        <v>59</v>
      </c>
      <c r="D90" s="38" t="s">
        <v>49</v>
      </c>
      <c r="E90" s="39" t="n">
        <v>1.27</v>
      </c>
    </row>
    <row r="91" customFormat="false" ht="15" hidden="false" customHeight="false" outlineLevel="0" collapsed="false">
      <c r="B91" s="36" t="s">
        <v>58</v>
      </c>
      <c r="C91" s="37" t="s">
        <v>105</v>
      </c>
      <c r="D91" s="38" t="s">
        <v>75</v>
      </c>
      <c r="E91" s="39" t="n">
        <v>1.32</v>
      </c>
    </row>
    <row r="92" customFormat="false" ht="15" hidden="false" customHeight="false" outlineLevel="0" collapsed="false">
      <c r="B92" s="36" t="s">
        <v>60</v>
      </c>
      <c r="C92" s="37" t="s">
        <v>64</v>
      </c>
      <c r="D92" s="38" t="s">
        <v>65</v>
      </c>
      <c r="E92" s="39" t="n">
        <v>1.4</v>
      </c>
    </row>
    <row r="93" customFormat="false" ht="15" hidden="false" customHeight="false" outlineLevel="0" collapsed="false">
      <c r="B93" s="36" t="s">
        <v>60</v>
      </c>
      <c r="C93" s="37" t="s">
        <v>61</v>
      </c>
      <c r="D93" s="38" t="s">
        <v>52</v>
      </c>
      <c r="E93" s="39" t="n">
        <v>1.26</v>
      </c>
    </row>
    <row r="94" customFormat="false" ht="15" hidden="false" customHeight="false" outlineLevel="0" collapsed="false">
      <c r="B94" s="36" t="s">
        <v>66</v>
      </c>
      <c r="C94" s="37" t="s">
        <v>67</v>
      </c>
      <c r="D94" s="38" t="s">
        <v>68</v>
      </c>
      <c r="E94" s="39" t="n">
        <v>1.34</v>
      </c>
    </row>
    <row r="95" customFormat="false" ht="15" hidden="false" customHeight="false" outlineLevel="0" collapsed="false">
      <c r="B95" s="36" t="s">
        <v>69</v>
      </c>
      <c r="C95" s="37" t="s">
        <v>70</v>
      </c>
      <c r="D95" s="38" t="s">
        <v>55</v>
      </c>
      <c r="E95" s="39" t="n">
        <v>1.3</v>
      </c>
    </row>
    <row r="96" customFormat="false" ht="15" hidden="false" customHeight="false" outlineLevel="0" collapsed="false">
      <c r="B96" s="36" t="s">
        <v>73</v>
      </c>
      <c r="C96" s="37" t="s">
        <v>74</v>
      </c>
      <c r="D96" s="38" t="s">
        <v>75</v>
      </c>
      <c r="E96" s="39" t="n">
        <v>1.2</v>
      </c>
    </row>
    <row r="97" customFormat="false" ht="15" hidden="false" customHeight="false" outlineLevel="0" collapsed="false">
      <c r="B97" s="36" t="s">
        <v>73</v>
      </c>
      <c r="C97" s="37" t="s">
        <v>76</v>
      </c>
      <c r="D97" s="38" t="s">
        <v>77</v>
      </c>
      <c r="E97" s="39" t="n">
        <v>1.2</v>
      </c>
    </row>
    <row r="99" customFormat="false" ht="23.85" hidden="false" customHeight="true" outlineLevel="0" collapsed="false">
      <c r="B99" s="34" t="s">
        <v>111</v>
      </c>
      <c r="C99" s="34"/>
      <c r="D99" s="34"/>
      <c r="E99" s="34"/>
    </row>
    <row r="100" customFormat="false" ht="15" hidden="false" customHeight="false" outlineLevel="0" collapsed="false">
      <c r="B100" s="35" t="s">
        <v>35</v>
      </c>
      <c r="C100" s="35" t="s">
        <v>36</v>
      </c>
      <c r="D100" s="35" t="s">
        <v>37</v>
      </c>
      <c r="E100" s="35" t="s">
        <v>38</v>
      </c>
    </row>
    <row r="101" customFormat="false" ht="15" hidden="false" customHeight="false" outlineLevel="0" collapsed="false">
      <c r="B101" s="36" t="s">
        <v>42</v>
      </c>
      <c r="C101" s="37" t="s">
        <v>45</v>
      </c>
      <c r="D101" s="38" t="s">
        <v>46</v>
      </c>
      <c r="E101" s="39" t="n">
        <v>1.8</v>
      </c>
    </row>
    <row r="102" customFormat="false" ht="15" hidden="false" customHeight="false" outlineLevel="0" collapsed="false">
      <c r="B102" s="36" t="s">
        <v>81</v>
      </c>
      <c r="C102" s="37" t="s">
        <v>82</v>
      </c>
      <c r="D102" s="38" t="s">
        <v>83</v>
      </c>
      <c r="E102" s="39" t="n">
        <v>1.23</v>
      </c>
    </row>
    <row r="103" customFormat="false" ht="15" hidden="false" customHeight="false" outlineLevel="0" collapsed="false">
      <c r="B103" s="36" t="s">
        <v>81</v>
      </c>
      <c r="C103" s="37" t="s">
        <v>110</v>
      </c>
      <c r="D103" s="38" t="s">
        <v>103</v>
      </c>
      <c r="E103" s="39" t="n">
        <v>1.47</v>
      </c>
    </row>
    <row r="104" customFormat="false" ht="15" hidden="false" customHeight="false" outlineLevel="0" collapsed="false">
      <c r="B104" s="36" t="s">
        <v>81</v>
      </c>
      <c r="C104" s="37" t="s">
        <v>84</v>
      </c>
      <c r="D104" s="38" t="s">
        <v>85</v>
      </c>
      <c r="E104" s="39" t="n">
        <v>1.34</v>
      </c>
    </row>
    <row r="105" customFormat="false" ht="15" hidden="false" customHeight="false" outlineLevel="0" collapsed="false">
      <c r="B105" s="36" t="s">
        <v>47</v>
      </c>
      <c r="C105" s="37" t="s">
        <v>48</v>
      </c>
      <c r="D105" s="38" t="s">
        <v>49</v>
      </c>
      <c r="E105" s="39" t="n">
        <v>1.28</v>
      </c>
    </row>
    <row r="106" customFormat="false" ht="15" hidden="false" customHeight="false" outlineLevel="0" collapsed="false">
      <c r="B106" s="36" t="s">
        <v>47</v>
      </c>
      <c r="C106" s="37" t="s">
        <v>96</v>
      </c>
      <c r="D106" s="38" t="s">
        <v>97</v>
      </c>
      <c r="E106" s="39" t="n">
        <v>1.29</v>
      </c>
    </row>
    <row r="107" customFormat="false" ht="15" hidden="false" customHeight="false" outlineLevel="0" collapsed="false">
      <c r="B107" s="36" t="s">
        <v>50</v>
      </c>
      <c r="C107" s="37" t="s">
        <v>51</v>
      </c>
      <c r="D107" s="38" t="s">
        <v>52</v>
      </c>
      <c r="E107" s="39" t="n">
        <v>2.05</v>
      </c>
    </row>
    <row r="108" customFormat="false" ht="15" hidden="false" customHeight="false" outlineLevel="0" collapsed="false">
      <c r="B108" s="36" t="s">
        <v>53</v>
      </c>
      <c r="C108" s="37" t="s">
        <v>54</v>
      </c>
      <c r="D108" s="38" t="s">
        <v>55</v>
      </c>
      <c r="E108" s="39" t="n">
        <v>1.47</v>
      </c>
    </row>
    <row r="109" customFormat="false" ht="15" hidden="false" customHeight="false" outlineLevel="0" collapsed="false">
      <c r="B109" s="36" t="s">
        <v>58</v>
      </c>
      <c r="C109" s="37" t="s">
        <v>91</v>
      </c>
      <c r="D109" s="38" t="s">
        <v>92</v>
      </c>
      <c r="E109" s="39" t="n">
        <v>1.5</v>
      </c>
    </row>
    <row r="110" customFormat="false" ht="15" hidden="false" customHeight="false" outlineLevel="0" collapsed="false">
      <c r="B110" s="36" t="s">
        <v>58</v>
      </c>
      <c r="C110" s="37" t="s">
        <v>104</v>
      </c>
      <c r="D110" s="38" t="s">
        <v>87</v>
      </c>
      <c r="E110" s="39" t="n">
        <v>1.52</v>
      </c>
    </row>
    <row r="111" customFormat="false" ht="15" hidden="false" customHeight="false" outlineLevel="0" collapsed="false">
      <c r="B111" s="36" t="s">
        <v>58</v>
      </c>
      <c r="C111" s="37" t="s">
        <v>105</v>
      </c>
      <c r="D111" s="38" t="s">
        <v>75</v>
      </c>
      <c r="E111" s="39" t="n">
        <v>1.32</v>
      </c>
    </row>
    <row r="112" customFormat="false" ht="15" hidden="false" customHeight="false" outlineLevel="0" collapsed="false">
      <c r="B112" s="36" t="s">
        <v>60</v>
      </c>
      <c r="C112" s="37" t="s">
        <v>64</v>
      </c>
      <c r="D112" s="38" t="s">
        <v>65</v>
      </c>
      <c r="E112" s="39" t="n">
        <v>1.4</v>
      </c>
    </row>
    <row r="113" customFormat="false" ht="15" hidden="false" customHeight="false" outlineLevel="0" collapsed="false">
      <c r="B113" s="36" t="s">
        <v>60</v>
      </c>
      <c r="C113" s="37" t="s">
        <v>62</v>
      </c>
      <c r="D113" s="38" t="s">
        <v>63</v>
      </c>
      <c r="E113" s="39" t="n">
        <v>1.27</v>
      </c>
    </row>
    <row r="114" customFormat="false" ht="15" hidden="false" customHeight="false" outlineLevel="0" collapsed="false">
      <c r="B114" s="36" t="s">
        <v>66</v>
      </c>
      <c r="C114" s="37" t="s">
        <v>67</v>
      </c>
      <c r="D114" s="38" t="s">
        <v>68</v>
      </c>
      <c r="E114" s="39" t="n">
        <v>1.34</v>
      </c>
    </row>
    <row r="115" customFormat="false" ht="15" hidden="false" customHeight="false" outlineLevel="0" collapsed="false">
      <c r="B115" s="36" t="s">
        <v>73</v>
      </c>
      <c r="C115" s="37" t="s">
        <v>76</v>
      </c>
      <c r="D115" s="38" t="s">
        <v>77</v>
      </c>
      <c r="E115" s="39" t="n">
        <v>1.2</v>
      </c>
    </row>
    <row r="117" customFormat="false" ht="23.85" hidden="false" customHeight="true" outlineLevel="0" collapsed="false">
      <c r="B117" s="34" t="s">
        <v>112</v>
      </c>
      <c r="C117" s="34"/>
      <c r="D117" s="34"/>
      <c r="E117" s="34"/>
    </row>
    <row r="118" customFormat="false" ht="15" hidden="false" customHeight="false" outlineLevel="0" collapsed="false">
      <c r="B118" s="35" t="s">
        <v>35</v>
      </c>
      <c r="C118" s="35" t="s">
        <v>36</v>
      </c>
      <c r="D118" s="35" t="s">
        <v>37</v>
      </c>
      <c r="E118" s="35" t="s">
        <v>38</v>
      </c>
    </row>
    <row r="119" customFormat="false" ht="15" hidden="false" customHeight="false" outlineLevel="0" collapsed="false">
      <c r="B119" s="36" t="s">
        <v>39</v>
      </c>
      <c r="C119" s="37" t="s">
        <v>40</v>
      </c>
      <c r="D119" s="38" t="s">
        <v>41</v>
      </c>
      <c r="E119" s="39" t="n">
        <v>1.45</v>
      </c>
    </row>
    <row r="120" customFormat="false" ht="15" hidden="false" customHeight="false" outlineLevel="0" collapsed="false">
      <c r="B120" s="36" t="s">
        <v>42</v>
      </c>
      <c r="C120" s="37" t="s">
        <v>43</v>
      </c>
      <c r="D120" s="38" t="s">
        <v>44</v>
      </c>
      <c r="E120" s="39" t="n">
        <v>1.26</v>
      </c>
    </row>
    <row r="121" customFormat="false" ht="15" hidden="false" customHeight="false" outlineLevel="0" collapsed="false">
      <c r="B121" s="36" t="s">
        <v>42</v>
      </c>
      <c r="C121" s="37" t="s">
        <v>45</v>
      </c>
      <c r="D121" s="38" t="s">
        <v>46</v>
      </c>
      <c r="E121" s="39" t="n">
        <v>1.8</v>
      </c>
    </row>
    <row r="122" customFormat="false" ht="15" hidden="false" customHeight="false" outlineLevel="0" collapsed="false">
      <c r="B122" s="36" t="s">
        <v>79</v>
      </c>
      <c r="C122" s="37" t="s">
        <v>94</v>
      </c>
      <c r="D122" s="38" t="s">
        <v>95</v>
      </c>
      <c r="E122" s="39" t="n">
        <v>1.1</v>
      </c>
    </row>
    <row r="123" customFormat="false" ht="15" hidden="false" customHeight="false" outlineLevel="0" collapsed="false">
      <c r="B123" s="36" t="s">
        <v>81</v>
      </c>
      <c r="C123" s="37" t="s">
        <v>82</v>
      </c>
      <c r="D123" s="38" t="s">
        <v>83</v>
      </c>
      <c r="E123" s="39" t="n">
        <v>1.23</v>
      </c>
    </row>
    <row r="124" customFormat="false" ht="15" hidden="false" customHeight="false" outlineLevel="0" collapsed="false">
      <c r="B124" s="36" t="s">
        <v>47</v>
      </c>
      <c r="C124" s="37" t="s">
        <v>96</v>
      </c>
      <c r="D124" s="38" t="s">
        <v>97</v>
      </c>
      <c r="E124" s="39" t="n">
        <v>1.29</v>
      </c>
    </row>
    <row r="125" customFormat="false" ht="15" hidden="false" customHeight="false" outlineLevel="0" collapsed="false">
      <c r="B125" s="36" t="s">
        <v>47</v>
      </c>
      <c r="C125" s="37" t="s">
        <v>86</v>
      </c>
      <c r="D125" s="38" t="s">
        <v>87</v>
      </c>
      <c r="E125" s="39" t="n">
        <v>1.42</v>
      </c>
    </row>
    <row r="126" customFormat="false" ht="15" hidden="false" customHeight="false" outlineLevel="0" collapsed="false">
      <c r="B126" s="36" t="s">
        <v>98</v>
      </c>
      <c r="C126" s="37" t="s">
        <v>99</v>
      </c>
      <c r="D126" s="38" t="s">
        <v>100</v>
      </c>
      <c r="E126" s="39" t="n">
        <v>1.27</v>
      </c>
    </row>
    <row r="127" customFormat="false" ht="15" hidden="false" customHeight="false" outlineLevel="0" collapsed="false">
      <c r="B127" s="36" t="s">
        <v>50</v>
      </c>
      <c r="C127" s="37" t="s">
        <v>51</v>
      </c>
      <c r="D127" s="38" t="s">
        <v>52</v>
      </c>
      <c r="E127" s="39" t="n">
        <v>2.05</v>
      </c>
    </row>
    <row r="128" customFormat="false" ht="15" hidden="false" customHeight="false" outlineLevel="0" collapsed="false">
      <c r="B128" s="36" t="s">
        <v>88</v>
      </c>
      <c r="C128" s="37" t="s">
        <v>89</v>
      </c>
      <c r="D128" s="38" t="s">
        <v>90</v>
      </c>
      <c r="E128" s="39" t="n">
        <v>1.27</v>
      </c>
    </row>
    <row r="129" customFormat="false" ht="15" hidden="false" customHeight="false" outlineLevel="0" collapsed="false">
      <c r="B129" s="36" t="s">
        <v>53</v>
      </c>
      <c r="C129" s="37" t="s">
        <v>113</v>
      </c>
      <c r="D129" s="38" t="s">
        <v>95</v>
      </c>
      <c r="E129" s="39" t="n">
        <v>1.13</v>
      </c>
    </row>
    <row r="130" customFormat="false" ht="15" hidden="false" customHeight="false" outlineLevel="0" collapsed="false">
      <c r="B130" s="36" t="s">
        <v>53</v>
      </c>
      <c r="C130" s="37" t="s">
        <v>56</v>
      </c>
      <c r="D130" s="38" t="s">
        <v>57</v>
      </c>
      <c r="E130" s="39" t="n">
        <v>1.47</v>
      </c>
    </row>
    <row r="131" customFormat="false" ht="15" hidden="false" customHeight="false" outlineLevel="0" collapsed="false">
      <c r="B131" s="36" t="s">
        <v>58</v>
      </c>
      <c r="C131" s="37" t="s">
        <v>59</v>
      </c>
      <c r="D131" s="38" t="s">
        <v>49</v>
      </c>
      <c r="E131" s="39" t="n">
        <v>1.27</v>
      </c>
    </row>
    <row r="132" customFormat="false" ht="15" hidden="false" customHeight="false" outlineLevel="0" collapsed="false">
      <c r="B132" s="36" t="s">
        <v>60</v>
      </c>
      <c r="C132" s="37" t="s">
        <v>62</v>
      </c>
      <c r="D132" s="38" t="s">
        <v>63</v>
      </c>
      <c r="E132" s="39" t="n">
        <v>1.27</v>
      </c>
    </row>
    <row r="133" customFormat="false" ht="15" hidden="false" customHeight="false" outlineLevel="0" collapsed="false">
      <c r="B133" s="36" t="s">
        <v>66</v>
      </c>
      <c r="C133" s="37" t="s">
        <v>67</v>
      </c>
      <c r="D133" s="38" t="s">
        <v>68</v>
      </c>
      <c r="E133" s="39" t="n">
        <v>1.34</v>
      </c>
    </row>
    <row r="134" customFormat="false" ht="15" hidden="false" customHeight="false" outlineLevel="0" collapsed="false">
      <c r="B134" s="36" t="s">
        <v>69</v>
      </c>
      <c r="C134" s="37" t="s">
        <v>71</v>
      </c>
      <c r="D134" s="38" t="s">
        <v>72</v>
      </c>
      <c r="E134" s="39" t="n">
        <v>1.47</v>
      </c>
    </row>
    <row r="135" customFormat="false" ht="15" hidden="false" customHeight="false" outlineLevel="0" collapsed="false">
      <c r="B135" s="36" t="s">
        <v>69</v>
      </c>
      <c r="C135" s="37" t="s">
        <v>70</v>
      </c>
      <c r="D135" s="38" t="s">
        <v>55</v>
      </c>
      <c r="E135" s="39" t="n">
        <v>1.3</v>
      </c>
    </row>
    <row r="137" customFormat="false" ht="23.85" hidden="false" customHeight="true" outlineLevel="0" collapsed="false">
      <c r="B137" s="34" t="s">
        <v>114</v>
      </c>
      <c r="C137" s="34"/>
      <c r="D137" s="34"/>
      <c r="E137" s="34"/>
    </row>
    <row r="138" customFormat="false" ht="15" hidden="false" customHeight="false" outlineLevel="0" collapsed="false">
      <c r="B138" s="35" t="s">
        <v>35</v>
      </c>
      <c r="C138" s="35" t="s">
        <v>36</v>
      </c>
      <c r="D138" s="35" t="s">
        <v>37</v>
      </c>
      <c r="E138" s="35" t="s">
        <v>38</v>
      </c>
    </row>
    <row r="139" customFormat="false" ht="15" hidden="false" customHeight="false" outlineLevel="0" collapsed="false">
      <c r="B139" s="36" t="s">
        <v>42</v>
      </c>
      <c r="C139" s="37" t="s">
        <v>45</v>
      </c>
      <c r="D139" s="38" t="s">
        <v>46</v>
      </c>
      <c r="E139" s="39" t="n">
        <v>1.8</v>
      </c>
    </row>
    <row r="140" customFormat="false" ht="15" hidden="false" customHeight="false" outlineLevel="0" collapsed="false">
      <c r="B140" s="36" t="s">
        <v>79</v>
      </c>
      <c r="C140" s="37" t="s">
        <v>94</v>
      </c>
      <c r="D140" s="38" t="s">
        <v>95</v>
      </c>
      <c r="E140" s="39" t="n">
        <v>1.1</v>
      </c>
    </row>
    <row r="141" customFormat="false" ht="15" hidden="false" customHeight="false" outlineLevel="0" collapsed="false">
      <c r="B141" s="36" t="s">
        <v>79</v>
      </c>
      <c r="C141" s="37" t="s">
        <v>80</v>
      </c>
      <c r="D141" s="38" t="s">
        <v>57</v>
      </c>
      <c r="E141" s="39" t="n">
        <v>1.5</v>
      </c>
    </row>
    <row r="142" customFormat="false" ht="15" hidden="false" customHeight="false" outlineLevel="0" collapsed="false">
      <c r="B142" s="36" t="s">
        <v>81</v>
      </c>
      <c r="C142" s="37" t="s">
        <v>82</v>
      </c>
      <c r="D142" s="38" t="s">
        <v>83</v>
      </c>
      <c r="E142" s="39" t="n">
        <v>1.23</v>
      </c>
    </row>
    <row r="143" customFormat="false" ht="15" hidden="false" customHeight="false" outlineLevel="0" collapsed="false">
      <c r="B143" s="36" t="s">
        <v>81</v>
      </c>
      <c r="C143" s="37" t="s">
        <v>110</v>
      </c>
      <c r="D143" s="38" t="s">
        <v>103</v>
      </c>
      <c r="E143" s="39" t="n">
        <v>1.47</v>
      </c>
    </row>
    <row r="144" customFormat="false" ht="15" hidden="false" customHeight="false" outlineLevel="0" collapsed="false">
      <c r="B144" s="36" t="s">
        <v>47</v>
      </c>
      <c r="C144" s="37" t="s">
        <v>96</v>
      </c>
      <c r="D144" s="38" t="s">
        <v>97</v>
      </c>
      <c r="E144" s="39" t="n">
        <v>1.29</v>
      </c>
    </row>
    <row r="145" customFormat="false" ht="15" hidden="false" customHeight="false" outlineLevel="0" collapsed="false">
      <c r="B145" s="36" t="s">
        <v>98</v>
      </c>
      <c r="C145" s="37" t="s">
        <v>99</v>
      </c>
      <c r="D145" s="38" t="s">
        <v>100</v>
      </c>
      <c r="E145" s="39" t="n">
        <v>1.27</v>
      </c>
    </row>
    <row r="146" customFormat="false" ht="15" hidden="false" customHeight="false" outlineLevel="0" collapsed="false">
      <c r="B146" s="36" t="s">
        <v>50</v>
      </c>
      <c r="C146" s="37" t="s">
        <v>51</v>
      </c>
      <c r="D146" s="38" t="s">
        <v>52</v>
      </c>
      <c r="E146" s="39" t="n">
        <v>2.05</v>
      </c>
    </row>
    <row r="147" customFormat="false" ht="15" hidden="false" customHeight="false" outlineLevel="0" collapsed="false">
      <c r="B147" s="36" t="s">
        <v>88</v>
      </c>
      <c r="C147" s="37" t="s">
        <v>89</v>
      </c>
      <c r="D147" s="38" t="s">
        <v>90</v>
      </c>
      <c r="E147" s="39" t="n">
        <v>1.27</v>
      </c>
    </row>
    <row r="148" customFormat="false" ht="15" hidden="false" customHeight="false" outlineLevel="0" collapsed="false">
      <c r="B148" s="36" t="s">
        <v>53</v>
      </c>
      <c r="C148" s="37" t="s">
        <v>107</v>
      </c>
      <c r="D148" s="38" t="s">
        <v>108</v>
      </c>
      <c r="E148" s="39" t="n">
        <v>1.19</v>
      </c>
    </row>
    <row r="149" customFormat="false" ht="15" hidden="false" customHeight="false" outlineLevel="0" collapsed="false">
      <c r="B149" s="36" t="s">
        <v>58</v>
      </c>
      <c r="C149" s="37" t="s">
        <v>59</v>
      </c>
      <c r="D149" s="38" t="s">
        <v>49</v>
      </c>
      <c r="E149" s="39" t="n">
        <v>1.27</v>
      </c>
    </row>
    <row r="150" customFormat="false" ht="15" hidden="false" customHeight="false" outlineLevel="0" collapsed="false">
      <c r="B150" s="36" t="s">
        <v>58</v>
      </c>
      <c r="C150" s="37" t="s">
        <v>105</v>
      </c>
      <c r="D150" s="38" t="s">
        <v>75</v>
      </c>
      <c r="E150" s="39" t="n">
        <v>1.32</v>
      </c>
    </row>
    <row r="151" customFormat="false" ht="15" hidden="false" customHeight="false" outlineLevel="0" collapsed="false">
      <c r="B151" s="36" t="s">
        <v>60</v>
      </c>
      <c r="C151" s="37" t="s">
        <v>64</v>
      </c>
      <c r="D151" s="38" t="s">
        <v>65</v>
      </c>
      <c r="E151" s="39" t="n">
        <v>1.4</v>
      </c>
    </row>
    <row r="152" customFormat="false" ht="15" hidden="false" customHeight="false" outlineLevel="0" collapsed="false">
      <c r="B152" s="36" t="s">
        <v>66</v>
      </c>
      <c r="C152" s="37" t="s">
        <v>67</v>
      </c>
      <c r="D152" s="38" t="s">
        <v>68</v>
      </c>
      <c r="E152" s="39" t="n">
        <v>1.34</v>
      </c>
    </row>
    <row r="153" customFormat="false" ht="15" hidden="false" customHeight="false" outlineLevel="0" collapsed="false">
      <c r="B153" s="36" t="s">
        <v>69</v>
      </c>
      <c r="C153" s="37" t="s">
        <v>71</v>
      </c>
      <c r="D153" s="38" t="s">
        <v>72</v>
      </c>
      <c r="E153" s="39" t="n">
        <v>1.47</v>
      </c>
    </row>
    <row r="154" customFormat="false" ht="15" hidden="false" customHeight="false" outlineLevel="0" collapsed="false">
      <c r="B154" s="36" t="s">
        <v>73</v>
      </c>
      <c r="C154" s="37" t="s">
        <v>74</v>
      </c>
      <c r="D154" s="38" t="s">
        <v>75</v>
      </c>
      <c r="E154" s="39" t="n">
        <v>1.2</v>
      </c>
    </row>
    <row r="155" customFormat="false" ht="15" hidden="false" customHeight="false" outlineLevel="0" collapsed="false">
      <c r="B155" s="36" t="s">
        <v>73</v>
      </c>
      <c r="C155" s="37" t="s">
        <v>76</v>
      </c>
      <c r="D155" s="38" t="s">
        <v>77</v>
      </c>
      <c r="E155" s="39" t="n">
        <v>1.2</v>
      </c>
    </row>
    <row r="157" customFormat="false" ht="23.85" hidden="false" customHeight="true" outlineLevel="0" collapsed="false">
      <c r="B157" s="34" t="s">
        <v>115</v>
      </c>
      <c r="C157" s="34"/>
      <c r="D157" s="34"/>
      <c r="E157" s="34"/>
    </row>
    <row r="158" customFormat="false" ht="15" hidden="false" customHeight="false" outlineLevel="0" collapsed="false">
      <c r="B158" s="35" t="s">
        <v>35</v>
      </c>
      <c r="C158" s="35" t="s">
        <v>36</v>
      </c>
      <c r="D158" s="35" t="s">
        <v>37</v>
      </c>
      <c r="E158" s="35" t="s">
        <v>38</v>
      </c>
    </row>
    <row r="159" customFormat="false" ht="15" hidden="false" customHeight="false" outlineLevel="0" collapsed="false">
      <c r="B159" s="36" t="s">
        <v>39</v>
      </c>
      <c r="C159" s="37" t="s">
        <v>40</v>
      </c>
      <c r="D159" s="38" t="s">
        <v>41</v>
      </c>
      <c r="E159" s="39" t="n">
        <v>1.45</v>
      </c>
    </row>
    <row r="160" customFormat="false" ht="15" hidden="false" customHeight="false" outlineLevel="0" collapsed="false">
      <c r="B160" s="36" t="s">
        <v>42</v>
      </c>
      <c r="C160" s="37" t="s">
        <v>45</v>
      </c>
      <c r="D160" s="38" t="s">
        <v>46</v>
      </c>
      <c r="E160" s="39" t="n">
        <v>1.8</v>
      </c>
    </row>
    <row r="161" customFormat="false" ht="15" hidden="false" customHeight="false" outlineLevel="0" collapsed="false">
      <c r="B161" s="36" t="s">
        <v>81</v>
      </c>
      <c r="C161" s="37" t="s">
        <v>110</v>
      </c>
      <c r="D161" s="38" t="s">
        <v>103</v>
      </c>
      <c r="E161" s="39" t="n">
        <v>1.47</v>
      </c>
    </row>
    <row r="162" customFormat="false" ht="15" hidden="false" customHeight="false" outlineLevel="0" collapsed="false">
      <c r="B162" s="36" t="s">
        <v>81</v>
      </c>
      <c r="C162" s="37" t="s">
        <v>84</v>
      </c>
      <c r="D162" s="38" t="s">
        <v>85</v>
      </c>
      <c r="E162" s="39" t="n">
        <v>1.34</v>
      </c>
    </row>
    <row r="163" customFormat="false" ht="15" hidden="false" customHeight="false" outlineLevel="0" collapsed="false">
      <c r="B163" s="36" t="s">
        <v>47</v>
      </c>
      <c r="C163" s="37" t="s">
        <v>48</v>
      </c>
      <c r="D163" s="38" t="s">
        <v>49</v>
      </c>
      <c r="E163" s="39" t="n">
        <v>1.28</v>
      </c>
    </row>
    <row r="164" customFormat="false" ht="15" hidden="false" customHeight="false" outlineLevel="0" collapsed="false">
      <c r="B164" s="36" t="s">
        <v>47</v>
      </c>
      <c r="C164" s="37" t="s">
        <v>86</v>
      </c>
      <c r="D164" s="38" t="s">
        <v>87</v>
      </c>
      <c r="E164" s="39" t="n">
        <v>1.42</v>
      </c>
    </row>
    <row r="165" customFormat="false" ht="15" hidden="false" customHeight="false" outlineLevel="0" collapsed="false">
      <c r="B165" s="36" t="s">
        <v>88</v>
      </c>
      <c r="C165" s="37" t="s">
        <v>89</v>
      </c>
      <c r="D165" s="38" t="s">
        <v>90</v>
      </c>
      <c r="E165" s="39" t="n">
        <v>1.27</v>
      </c>
    </row>
    <row r="166" customFormat="false" ht="15" hidden="false" customHeight="false" outlineLevel="0" collapsed="false">
      <c r="B166" s="36" t="s">
        <v>53</v>
      </c>
      <c r="C166" s="37" t="s">
        <v>54</v>
      </c>
      <c r="D166" s="38" t="s">
        <v>55</v>
      </c>
      <c r="E166" s="39" t="n">
        <v>1.47</v>
      </c>
    </row>
    <row r="167" customFormat="false" ht="15" hidden="false" customHeight="false" outlineLevel="0" collapsed="false">
      <c r="B167" s="36" t="s">
        <v>53</v>
      </c>
      <c r="C167" s="37" t="s">
        <v>56</v>
      </c>
      <c r="D167" s="38" t="s">
        <v>57</v>
      </c>
      <c r="E167" s="39" t="n">
        <v>1.47</v>
      </c>
    </row>
    <row r="168" customFormat="false" ht="15" hidden="false" customHeight="false" outlineLevel="0" collapsed="false">
      <c r="B168" s="36" t="s">
        <v>101</v>
      </c>
      <c r="C168" s="37" t="s">
        <v>102</v>
      </c>
      <c r="D168" s="38" t="s">
        <v>103</v>
      </c>
      <c r="E168" s="39" t="n">
        <v>1.12</v>
      </c>
    </row>
    <row r="169" customFormat="false" ht="15" hidden="false" customHeight="false" outlineLevel="0" collapsed="false">
      <c r="B169" s="36" t="s">
        <v>58</v>
      </c>
      <c r="C169" s="37" t="s">
        <v>104</v>
      </c>
      <c r="D169" s="38" t="s">
        <v>87</v>
      </c>
      <c r="E169" s="39" t="n">
        <v>1.52</v>
      </c>
    </row>
    <row r="170" customFormat="false" ht="15" hidden="false" customHeight="false" outlineLevel="0" collapsed="false">
      <c r="B170" s="36" t="s">
        <v>58</v>
      </c>
      <c r="C170" s="37" t="s">
        <v>105</v>
      </c>
      <c r="D170" s="38" t="s">
        <v>75</v>
      </c>
      <c r="E170" s="39" t="n">
        <v>1.32</v>
      </c>
    </row>
    <row r="171" customFormat="false" ht="15" hidden="false" customHeight="false" outlineLevel="0" collapsed="false">
      <c r="B171" s="36" t="s">
        <v>60</v>
      </c>
      <c r="C171" s="37" t="s">
        <v>64</v>
      </c>
      <c r="D171" s="38" t="s">
        <v>65</v>
      </c>
      <c r="E171" s="39" t="n">
        <v>1.4</v>
      </c>
    </row>
    <row r="172" customFormat="false" ht="15" hidden="false" customHeight="false" outlineLevel="0" collapsed="false">
      <c r="B172" s="36" t="s">
        <v>60</v>
      </c>
      <c r="C172" s="37" t="s">
        <v>62</v>
      </c>
      <c r="D172" s="38" t="s">
        <v>63</v>
      </c>
      <c r="E172" s="39" t="n">
        <v>1.27</v>
      </c>
    </row>
    <row r="173" customFormat="false" ht="15" hidden="false" customHeight="false" outlineLevel="0" collapsed="false">
      <c r="B173" s="36" t="s">
        <v>69</v>
      </c>
      <c r="C173" s="37" t="s">
        <v>71</v>
      </c>
      <c r="D173" s="38" t="s">
        <v>72</v>
      </c>
      <c r="E173" s="39" t="n">
        <v>1.47</v>
      </c>
    </row>
    <row r="174" customFormat="false" ht="15" hidden="false" customHeight="false" outlineLevel="0" collapsed="false">
      <c r="B174" s="36" t="s">
        <v>73</v>
      </c>
      <c r="C174" s="37" t="s">
        <v>76</v>
      </c>
      <c r="D174" s="38" t="s">
        <v>77</v>
      </c>
      <c r="E174" s="39" t="n">
        <v>1.2</v>
      </c>
    </row>
    <row r="176" customFormat="false" ht="23.85" hidden="false" customHeight="true" outlineLevel="0" collapsed="false">
      <c r="B176" s="34" t="s">
        <v>116</v>
      </c>
      <c r="C176" s="34"/>
      <c r="D176" s="34"/>
      <c r="E176" s="34"/>
    </row>
    <row r="177" customFormat="false" ht="15" hidden="false" customHeight="false" outlineLevel="0" collapsed="false">
      <c r="B177" s="35" t="s">
        <v>35</v>
      </c>
      <c r="C177" s="35" t="s">
        <v>36</v>
      </c>
      <c r="D177" s="35" t="s">
        <v>37</v>
      </c>
      <c r="E177" s="35" t="s">
        <v>38</v>
      </c>
    </row>
    <row r="178" customFormat="false" ht="15" hidden="false" customHeight="false" outlineLevel="0" collapsed="false">
      <c r="B178" s="36" t="s">
        <v>39</v>
      </c>
      <c r="C178" s="37" t="s">
        <v>40</v>
      </c>
      <c r="D178" s="38" t="s">
        <v>41</v>
      </c>
      <c r="E178" s="39" t="n">
        <v>1.45</v>
      </c>
    </row>
    <row r="179" customFormat="false" ht="15" hidden="false" customHeight="false" outlineLevel="0" collapsed="false">
      <c r="B179" s="36" t="s">
        <v>79</v>
      </c>
      <c r="C179" s="37" t="s">
        <v>80</v>
      </c>
      <c r="D179" s="38" t="s">
        <v>57</v>
      </c>
      <c r="E179" s="39" t="n">
        <v>1.5</v>
      </c>
    </row>
    <row r="180" customFormat="false" ht="15" hidden="false" customHeight="false" outlineLevel="0" collapsed="false">
      <c r="B180" s="36" t="s">
        <v>81</v>
      </c>
      <c r="C180" s="37" t="s">
        <v>110</v>
      </c>
      <c r="D180" s="38" t="s">
        <v>103</v>
      </c>
      <c r="E180" s="39" t="n">
        <v>1.47</v>
      </c>
    </row>
    <row r="181" customFormat="false" ht="15" hidden="false" customHeight="false" outlineLevel="0" collapsed="false">
      <c r="B181" s="36" t="s">
        <v>81</v>
      </c>
      <c r="C181" s="37" t="s">
        <v>82</v>
      </c>
      <c r="D181" s="38" t="s">
        <v>83</v>
      </c>
      <c r="E181" s="39" t="n">
        <v>1.23</v>
      </c>
    </row>
    <row r="182" customFormat="false" ht="15" hidden="false" customHeight="false" outlineLevel="0" collapsed="false">
      <c r="B182" s="36" t="s">
        <v>81</v>
      </c>
      <c r="C182" s="37" t="s">
        <v>84</v>
      </c>
      <c r="D182" s="38" t="s">
        <v>85</v>
      </c>
      <c r="E182" s="39" t="n">
        <v>1.34</v>
      </c>
    </row>
    <row r="183" customFormat="false" ht="15" hidden="false" customHeight="false" outlineLevel="0" collapsed="false">
      <c r="B183" s="36" t="s">
        <v>47</v>
      </c>
      <c r="C183" s="37" t="s">
        <v>96</v>
      </c>
      <c r="D183" s="38" t="s">
        <v>97</v>
      </c>
      <c r="E183" s="39" t="n">
        <v>1.29</v>
      </c>
    </row>
    <row r="184" customFormat="false" ht="15" hidden="false" customHeight="false" outlineLevel="0" collapsed="false">
      <c r="B184" s="36" t="s">
        <v>88</v>
      </c>
      <c r="C184" s="37" t="s">
        <v>89</v>
      </c>
      <c r="D184" s="38" t="s">
        <v>90</v>
      </c>
      <c r="E184" s="39" t="n">
        <v>1.27</v>
      </c>
    </row>
    <row r="185" customFormat="false" ht="15" hidden="false" customHeight="false" outlineLevel="0" collapsed="false">
      <c r="B185" s="36" t="s">
        <v>53</v>
      </c>
      <c r="C185" s="37" t="s">
        <v>54</v>
      </c>
      <c r="D185" s="38" t="s">
        <v>55</v>
      </c>
      <c r="E185" s="39" t="n">
        <v>1.47</v>
      </c>
    </row>
    <row r="186" customFormat="false" ht="15" hidden="false" customHeight="false" outlineLevel="0" collapsed="false">
      <c r="B186" s="36" t="s">
        <v>53</v>
      </c>
      <c r="C186" s="37" t="s">
        <v>56</v>
      </c>
      <c r="D186" s="38" t="s">
        <v>57</v>
      </c>
      <c r="E186" s="39" t="n">
        <v>1.47</v>
      </c>
    </row>
    <row r="187" customFormat="false" ht="15" hidden="false" customHeight="false" outlineLevel="0" collapsed="false">
      <c r="B187" s="36" t="s">
        <v>101</v>
      </c>
      <c r="C187" s="37" t="s">
        <v>102</v>
      </c>
      <c r="D187" s="38" t="s">
        <v>103</v>
      </c>
      <c r="E187" s="39" t="n">
        <v>1.12</v>
      </c>
    </row>
    <row r="188" customFormat="false" ht="15" hidden="false" customHeight="false" outlineLevel="0" collapsed="false">
      <c r="B188" s="36" t="s">
        <v>58</v>
      </c>
      <c r="C188" s="37" t="s">
        <v>91</v>
      </c>
      <c r="D188" s="38" t="s">
        <v>92</v>
      </c>
      <c r="E188" s="39" t="n">
        <v>1.5</v>
      </c>
    </row>
    <row r="189" customFormat="false" ht="15" hidden="false" customHeight="false" outlineLevel="0" collapsed="false">
      <c r="B189" s="36" t="s">
        <v>58</v>
      </c>
      <c r="C189" s="37" t="s">
        <v>104</v>
      </c>
      <c r="D189" s="38" t="s">
        <v>87</v>
      </c>
      <c r="E189" s="39" t="n">
        <v>1.52</v>
      </c>
    </row>
    <row r="190" customFormat="false" ht="15" hidden="false" customHeight="false" outlineLevel="0" collapsed="false">
      <c r="B190" s="36" t="s">
        <v>58</v>
      </c>
      <c r="C190" s="37" t="s">
        <v>59</v>
      </c>
      <c r="D190" s="38" t="s">
        <v>49</v>
      </c>
      <c r="E190" s="39" t="n">
        <v>1.27</v>
      </c>
    </row>
    <row r="191" customFormat="false" ht="15" hidden="false" customHeight="false" outlineLevel="0" collapsed="false">
      <c r="B191" s="36" t="s">
        <v>60</v>
      </c>
      <c r="C191" s="37" t="s">
        <v>64</v>
      </c>
      <c r="D191" s="38" t="s">
        <v>65</v>
      </c>
      <c r="E191" s="39" t="n">
        <v>1.4</v>
      </c>
    </row>
    <row r="192" customFormat="false" ht="15" hidden="false" customHeight="false" outlineLevel="0" collapsed="false">
      <c r="B192" s="36" t="s">
        <v>60</v>
      </c>
      <c r="C192" s="37" t="s">
        <v>61</v>
      </c>
      <c r="D192" s="38" t="s">
        <v>52</v>
      </c>
      <c r="E192" s="39" t="n">
        <v>1.26</v>
      </c>
    </row>
    <row r="193" customFormat="false" ht="15" hidden="false" customHeight="false" outlineLevel="0" collapsed="false">
      <c r="B193" s="36" t="s">
        <v>60</v>
      </c>
      <c r="C193" s="37" t="s">
        <v>62</v>
      </c>
      <c r="D193" s="38" t="s">
        <v>63</v>
      </c>
      <c r="E193" s="39" t="n">
        <v>1.27</v>
      </c>
    </row>
    <row r="194" customFormat="false" ht="15" hidden="false" customHeight="false" outlineLevel="0" collapsed="false">
      <c r="B194" s="36" t="s">
        <v>69</v>
      </c>
      <c r="C194" s="37" t="s">
        <v>70</v>
      </c>
      <c r="D194" s="38" t="s">
        <v>55</v>
      </c>
      <c r="E194" s="39" t="n">
        <v>1.3</v>
      </c>
    </row>
    <row r="196" customFormat="false" ht="23.85" hidden="false" customHeight="true" outlineLevel="0" collapsed="false">
      <c r="B196" s="34" t="s">
        <v>117</v>
      </c>
      <c r="C196" s="34"/>
      <c r="D196" s="34"/>
      <c r="E196" s="34"/>
    </row>
    <row r="197" customFormat="false" ht="15" hidden="false" customHeight="false" outlineLevel="0" collapsed="false">
      <c r="B197" s="35" t="s">
        <v>35</v>
      </c>
      <c r="C197" s="35" t="s">
        <v>36</v>
      </c>
      <c r="D197" s="35" t="s">
        <v>37</v>
      </c>
      <c r="E197" s="35" t="s">
        <v>38</v>
      </c>
    </row>
    <row r="198" customFormat="false" ht="15" hidden="false" customHeight="false" outlineLevel="0" collapsed="false">
      <c r="B198" s="36" t="s">
        <v>39</v>
      </c>
      <c r="C198" s="37" t="s">
        <v>40</v>
      </c>
      <c r="D198" s="38" t="s">
        <v>41</v>
      </c>
      <c r="E198" s="39" t="n">
        <v>1.45</v>
      </c>
    </row>
    <row r="199" customFormat="false" ht="15" hidden="false" customHeight="false" outlineLevel="0" collapsed="false">
      <c r="B199" s="36" t="s">
        <v>42</v>
      </c>
      <c r="C199" s="37" t="s">
        <v>43</v>
      </c>
      <c r="D199" s="38" t="s">
        <v>44</v>
      </c>
      <c r="E199" s="39" t="n">
        <v>1.26</v>
      </c>
    </row>
    <row r="200" customFormat="false" ht="15" hidden="false" customHeight="false" outlineLevel="0" collapsed="false">
      <c r="B200" s="36" t="s">
        <v>81</v>
      </c>
      <c r="C200" s="37" t="s">
        <v>110</v>
      </c>
      <c r="D200" s="38" t="s">
        <v>103</v>
      </c>
      <c r="E200" s="39" t="n">
        <v>1.47</v>
      </c>
    </row>
    <row r="201" customFormat="false" ht="15" hidden="false" customHeight="false" outlineLevel="0" collapsed="false">
      <c r="B201" s="36" t="s">
        <v>47</v>
      </c>
      <c r="C201" s="37" t="s">
        <v>96</v>
      </c>
      <c r="D201" s="38" t="s">
        <v>97</v>
      </c>
      <c r="E201" s="39" t="n">
        <v>1.29</v>
      </c>
    </row>
    <row r="202" customFormat="false" ht="15" hidden="false" customHeight="false" outlineLevel="0" collapsed="false">
      <c r="B202" s="36" t="s">
        <v>47</v>
      </c>
      <c r="C202" s="37" t="s">
        <v>86</v>
      </c>
      <c r="D202" s="38" t="s">
        <v>87</v>
      </c>
      <c r="E202" s="39" t="n">
        <v>1.42</v>
      </c>
    </row>
    <row r="203" customFormat="false" ht="15" hidden="false" customHeight="false" outlineLevel="0" collapsed="false">
      <c r="B203" s="36" t="s">
        <v>50</v>
      </c>
      <c r="C203" s="37" t="s">
        <v>51</v>
      </c>
      <c r="D203" s="38" t="s">
        <v>52</v>
      </c>
      <c r="E203" s="39" t="n">
        <v>2.05</v>
      </c>
    </row>
    <row r="204" customFormat="false" ht="15" hidden="false" customHeight="false" outlineLevel="0" collapsed="false">
      <c r="B204" s="36" t="s">
        <v>88</v>
      </c>
      <c r="C204" s="37" t="s">
        <v>89</v>
      </c>
      <c r="D204" s="38" t="s">
        <v>90</v>
      </c>
      <c r="E204" s="39" t="n">
        <v>1.27</v>
      </c>
    </row>
    <row r="205" customFormat="false" ht="15" hidden="false" customHeight="false" outlineLevel="0" collapsed="false">
      <c r="B205" s="36" t="s">
        <v>58</v>
      </c>
      <c r="C205" s="37" t="s">
        <v>91</v>
      </c>
      <c r="D205" s="38" t="s">
        <v>92</v>
      </c>
      <c r="E205" s="39" t="n">
        <v>1.5</v>
      </c>
    </row>
    <row r="206" customFormat="false" ht="15" hidden="false" customHeight="false" outlineLevel="0" collapsed="false">
      <c r="B206" s="36" t="s">
        <v>58</v>
      </c>
      <c r="C206" s="37" t="s">
        <v>104</v>
      </c>
      <c r="D206" s="38" t="s">
        <v>87</v>
      </c>
      <c r="E206" s="39" t="n">
        <v>1.52</v>
      </c>
    </row>
    <row r="207" customFormat="false" ht="15" hidden="false" customHeight="false" outlineLevel="0" collapsed="false">
      <c r="B207" s="36" t="s">
        <v>58</v>
      </c>
      <c r="C207" s="37" t="s">
        <v>105</v>
      </c>
      <c r="D207" s="38" t="s">
        <v>75</v>
      </c>
      <c r="E207" s="39" t="n">
        <v>1.32</v>
      </c>
    </row>
    <row r="208" customFormat="false" ht="15" hidden="false" customHeight="false" outlineLevel="0" collapsed="false">
      <c r="B208" s="36" t="s">
        <v>60</v>
      </c>
      <c r="C208" s="37" t="s">
        <v>64</v>
      </c>
      <c r="D208" s="38" t="s">
        <v>65</v>
      </c>
      <c r="E208" s="39" t="n">
        <v>1.4</v>
      </c>
    </row>
    <row r="209" customFormat="false" ht="15" hidden="false" customHeight="false" outlineLevel="0" collapsed="false">
      <c r="B209" s="36" t="s">
        <v>60</v>
      </c>
      <c r="C209" s="37" t="s">
        <v>61</v>
      </c>
      <c r="D209" s="38" t="s">
        <v>52</v>
      </c>
      <c r="E209" s="39" t="n">
        <v>1.26</v>
      </c>
    </row>
    <row r="210" customFormat="false" ht="15" hidden="false" customHeight="false" outlineLevel="0" collapsed="false">
      <c r="B210" s="36" t="s">
        <v>66</v>
      </c>
      <c r="C210" s="37" t="s">
        <v>67</v>
      </c>
      <c r="D210" s="38" t="s">
        <v>68</v>
      </c>
      <c r="E210" s="39" t="n">
        <v>1.34</v>
      </c>
    </row>
    <row r="211" customFormat="false" ht="15" hidden="false" customHeight="false" outlineLevel="0" collapsed="false">
      <c r="B211" s="36" t="s">
        <v>69</v>
      </c>
      <c r="C211" s="37" t="s">
        <v>71</v>
      </c>
      <c r="D211" s="38" t="s">
        <v>72</v>
      </c>
      <c r="E211" s="39" t="n">
        <v>1.47</v>
      </c>
    </row>
    <row r="212" customFormat="false" ht="15" hidden="false" customHeight="false" outlineLevel="0" collapsed="false">
      <c r="B212" s="36" t="s">
        <v>69</v>
      </c>
      <c r="C212" s="37" t="s">
        <v>70</v>
      </c>
      <c r="D212" s="38" t="s">
        <v>55</v>
      </c>
      <c r="E212" s="39" t="n">
        <v>1.3</v>
      </c>
    </row>
    <row r="214" customFormat="false" ht="23.85" hidden="false" customHeight="true" outlineLevel="0" collapsed="false">
      <c r="B214" s="34" t="s">
        <v>118</v>
      </c>
      <c r="C214" s="34"/>
      <c r="D214" s="34"/>
      <c r="E214" s="34"/>
    </row>
    <row r="215" customFormat="false" ht="15" hidden="false" customHeight="false" outlineLevel="0" collapsed="false">
      <c r="B215" s="35" t="s">
        <v>35</v>
      </c>
      <c r="C215" s="35" t="s">
        <v>36</v>
      </c>
      <c r="D215" s="35" t="s">
        <v>37</v>
      </c>
      <c r="E215" s="35" t="s">
        <v>38</v>
      </c>
    </row>
    <row r="216" customFormat="false" ht="15" hidden="false" customHeight="false" outlineLevel="0" collapsed="false">
      <c r="B216" s="36" t="s">
        <v>39</v>
      </c>
      <c r="C216" s="37" t="s">
        <v>40</v>
      </c>
      <c r="D216" s="38" t="s">
        <v>41</v>
      </c>
      <c r="E216" s="39" t="n">
        <v>1.45</v>
      </c>
    </row>
    <row r="217" customFormat="false" ht="15" hidden="false" customHeight="false" outlineLevel="0" collapsed="false">
      <c r="B217" s="36" t="s">
        <v>42</v>
      </c>
      <c r="C217" s="37" t="s">
        <v>45</v>
      </c>
      <c r="D217" s="38" t="s">
        <v>46</v>
      </c>
      <c r="E217" s="39" t="n">
        <v>1.8</v>
      </c>
    </row>
    <row r="218" customFormat="false" ht="15" hidden="false" customHeight="false" outlineLevel="0" collapsed="false">
      <c r="B218" s="36" t="s">
        <v>119</v>
      </c>
      <c r="C218" s="37" t="s">
        <v>120</v>
      </c>
      <c r="D218" s="38" t="s">
        <v>121</v>
      </c>
      <c r="E218" s="39" t="n">
        <v>1.05</v>
      </c>
    </row>
    <row r="219" customFormat="false" ht="15" hidden="false" customHeight="false" outlineLevel="0" collapsed="false">
      <c r="B219" s="36" t="s">
        <v>79</v>
      </c>
      <c r="C219" s="37" t="s">
        <v>80</v>
      </c>
      <c r="D219" s="38" t="s">
        <v>57</v>
      </c>
      <c r="E219" s="39" t="n">
        <v>1.5</v>
      </c>
    </row>
    <row r="220" customFormat="false" ht="15" hidden="false" customHeight="false" outlineLevel="0" collapsed="false">
      <c r="B220" s="36" t="s">
        <v>81</v>
      </c>
      <c r="C220" s="37" t="s">
        <v>82</v>
      </c>
      <c r="D220" s="38" t="s">
        <v>83</v>
      </c>
      <c r="E220" s="39" t="n">
        <v>1.23</v>
      </c>
    </row>
    <row r="221" customFormat="false" ht="15" hidden="false" customHeight="false" outlineLevel="0" collapsed="false">
      <c r="B221" s="36" t="s">
        <v>81</v>
      </c>
      <c r="C221" s="37" t="s">
        <v>84</v>
      </c>
      <c r="D221" s="38" t="s">
        <v>85</v>
      </c>
      <c r="E221" s="39" t="n">
        <v>1.34</v>
      </c>
    </row>
    <row r="222" customFormat="false" ht="15" hidden="false" customHeight="false" outlineLevel="0" collapsed="false">
      <c r="B222" s="36" t="s">
        <v>47</v>
      </c>
      <c r="C222" s="37" t="s">
        <v>96</v>
      </c>
      <c r="D222" s="38" t="s">
        <v>97</v>
      </c>
      <c r="E222" s="39" t="n">
        <v>1.29</v>
      </c>
    </row>
    <row r="223" customFormat="false" ht="15" hidden="false" customHeight="false" outlineLevel="0" collapsed="false">
      <c r="B223" s="36" t="s">
        <v>47</v>
      </c>
      <c r="C223" s="37" t="s">
        <v>86</v>
      </c>
      <c r="D223" s="38" t="s">
        <v>87</v>
      </c>
      <c r="E223" s="39" t="n">
        <v>1.42</v>
      </c>
    </row>
    <row r="224" customFormat="false" ht="15" hidden="false" customHeight="false" outlineLevel="0" collapsed="false">
      <c r="B224" s="36" t="s">
        <v>98</v>
      </c>
      <c r="C224" s="37" t="s">
        <v>99</v>
      </c>
      <c r="D224" s="38" t="s">
        <v>100</v>
      </c>
      <c r="E224" s="39" t="n">
        <v>1.27</v>
      </c>
    </row>
    <row r="225" customFormat="false" ht="15" hidden="false" customHeight="false" outlineLevel="0" collapsed="false">
      <c r="B225" s="36" t="s">
        <v>50</v>
      </c>
      <c r="C225" s="37" t="s">
        <v>51</v>
      </c>
      <c r="D225" s="38" t="s">
        <v>52</v>
      </c>
      <c r="E225" s="39" t="n">
        <v>2.05</v>
      </c>
    </row>
    <row r="226" customFormat="false" ht="15" hidden="false" customHeight="false" outlineLevel="0" collapsed="false">
      <c r="B226" s="36" t="s">
        <v>53</v>
      </c>
      <c r="C226" s="37" t="s">
        <v>56</v>
      </c>
      <c r="D226" s="38" t="s">
        <v>57</v>
      </c>
      <c r="E226" s="39" t="n">
        <v>1.47</v>
      </c>
    </row>
    <row r="227" customFormat="false" ht="15" hidden="false" customHeight="false" outlineLevel="0" collapsed="false">
      <c r="B227" s="36" t="s">
        <v>58</v>
      </c>
      <c r="C227" s="37" t="s">
        <v>91</v>
      </c>
      <c r="D227" s="38" t="s">
        <v>92</v>
      </c>
      <c r="E227" s="39" t="n">
        <v>1.5</v>
      </c>
    </row>
    <row r="228" customFormat="false" ht="15" hidden="false" customHeight="false" outlineLevel="0" collapsed="false">
      <c r="B228" s="36" t="s">
        <v>58</v>
      </c>
      <c r="C228" s="37" t="s">
        <v>104</v>
      </c>
      <c r="D228" s="38" t="s">
        <v>87</v>
      </c>
      <c r="E228" s="39" t="n">
        <v>1.52</v>
      </c>
    </row>
    <row r="229" customFormat="false" ht="15" hidden="false" customHeight="false" outlineLevel="0" collapsed="false">
      <c r="B229" s="36" t="s">
        <v>58</v>
      </c>
      <c r="C229" s="37" t="s">
        <v>59</v>
      </c>
      <c r="D229" s="38" t="s">
        <v>49</v>
      </c>
      <c r="E229" s="39" t="n">
        <v>1.27</v>
      </c>
    </row>
    <row r="230" customFormat="false" ht="15" hidden="false" customHeight="false" outlineLevel="0" collapsed="false">
      <c r="B230" s="36" t="s">
        <v>60</v>
      </c>
      <c r="C230" s="37" t="s">
        <v>61</v>
      </c>
      <c r="D230" s="38" t="s">
        <v>52</v>
      </c>
      <c r="E230" s="39" t="n">
        <v>1.26</v>
      </c>
    </row>
    <row r="232" customFormat="false" ht="23.85" hidden="false" customHeight="true" outlineLevel="0" collapsed="false">
      <c r="B232" s="34" t="s">
        <v>122</v>
      </c>
      <c r="C232" s="34"/>
      <c r="D232" s="34"/>
      <c r="E232" s="34"/>
    </row>
    <row r="233" customFormat="false" ht="15" hidden="false" customHeight="false" outlineLevel="0" collapsed="false">
      <c r="B233" s="35" t="s">
        <v>35</v>
      </c>
      <c r="C233" s="35" t="s">
        <v>36</v>
      </c>
      <c r="D233" s="35" t="s">
        <v>37</v>
      </c>
      <c r="E233" s="35" t="s">
        <v>38</v>
      </c>
    </row>
    <row r="234" customFormat="false" ht="15" hidden="false" customHeight="false" outlineLevel="0" collapsed="false">
      <c r="B234" s="36" t="s">
        <v>39</v>
      </c>
      <c r="C234" s="37" t="s">
        <v>40</v>
      </c>
      <c r="D234" s="38" t="s">
        <v>41</v>
      </c>
      <c r="E234" s="39" t="n">
        <v>1.45</v>
      </c>
    </row>
    <row r="235" customFormat="false" ht="15" hidden="false" customHeight="false" outlineLevel="0" collapsed="false">
      <c r="B235" s="36" t="s">
        <v>42</v>
      </c>
      <c r="C235" s="37" t="s">
        <v>43</v>
      </c>
      <c r="D235" s="38" t="s">
        <v>44</v>
      </c>
      <c r="E235" s="39" t="n">
        <v>1.26</v>
      </c>
    </row>
    <row r="236" customFormat="false" ht="15" hidden="false" customHeight="false" outlineLevel="0" collapsed="false">
      <c r="B236" s="36" t="s">
        <v>119</v>
      </c>
      <c r="C236" s="37" t="s">
        <v>120</v>
      </c>
      <c r="D236" s="38" t="s">
        <v>121</v>
      </c>
      <c r="E236" s="39" t="n">
        <v>1.05</v>
      </c>
    </row>
    <row r="237" customFormat="false" ht="15" hidden="false" customHeight="false" outlineLevel="0" collapsed="false">
      <c r="B237" s="36" t="s">
        <v>79</v>
      </c>
      <c r="C237" s="37" t="s">
        <v>94</v>
      </c>
      <c r="D237" s="38" t="s">
        <v>95</v>
      </c>
      <c r="E237" s="39" t="n">
        <v>1.1</v>
      </c>
    </row>
    <row r="238" customFormat="false" ht="15" hidden="false" customHeight="false" outlineLevel="0" collapsed="false">
      <c r="B238" s="36" t="s">
        <v>81</v>
      </c>
      <c r="C238" s="37" t="s">
        <v>84</v>
      </c>
      <c r="D238" s="38" t="s">
        <v>85</v>
      </c>
      <c r="E238" s="39" t="n">
        <v>1.34</v>
      </c>
    </row>
    <row r="239" customFormat="false" ht="15" hidden="false" customHeight="false" outlineLevel="0" collapsed="false">
      <c r="B239" s="36" t="s">
        <v>47</v>
      </c>
      <c r="C239" s="37" t="s">
        <v>48</v>
      </c>
      <c r="D239" s="38" t="s">
        <v>49</v>
      </c>
      <c r="E239" s="39" t="n">
        <v>1.28</v>
      </c>
    </row>
    <row r="240" customFormat="false" ht="15" hidden="false" customHeight="false" outlineLevel="0" collapsed="false">
      <c r="B240" s="36" t="s">
        <v>47</v>
      </c>
      <c r="C240" s="37" t="s">
        <v>86</v>
      </c>
      <c r="D240" s="38" t="s">
        <v>87</v>
      </c>
      <c r="E240" s="39" t="n">
        <v>1.42</v>
      </c>
    </row>
    <row r="241" customFormat="false" ht="15" hidden="false" customHeight="false" outlineLevel="0" collapsed="false">
      <c r="B241" s="36" t="s">
        <v>98</v>
      </c>
      <c r="C241" s="37" t="s">
        <v>99</v>
      </c>
      <c r="D241" s="38" t="s">
        <v>100</v>
      </c>
      <c r="E241" s="39" t="n">
        <v>1.27</v>
      </c>
    </row>
    <row r="242" customFormat="false" ht="15" hidden="false" customHeight="false" outlineLevel="0" collapsed="false">
      <c r="B242" s="36" t="s">
        <v>50</v>
      </c>
      <c r="C242" s="37" t="s">
        <v>51</v>
      </c>
      <c r="D242" s="38" t="s">
        <v>52</v>
      </c>
      <c r="E242" s="39" t="n">
        <v>2.05</v>
      </c>
    </row>
    <row r="243" customFormat="false" ht="15" hidden="false" customHeight="false" outlineLevel="0" collapsed="false">
      <c r="B243" s="36" t="s">
        <v>53</v>
      </c>
      <c r="C243" s="37" t="s">
        <v>54</v>
      </c>
      <c r="D243" s="38" t="s">
        <v>55</v>
      </c>
      <c r="E243" s="39" t="n">
        <v>1.47</v>
      </c>
    </row>
    <row r="244" customFormat="false" ht="15" hidden="false" customHeight="false" outlineLevel="0" collapsed="false">
      <c r="B244" s="36" t="s">
        <v>53</v>
      </c>
      <c r="C244" s="37" t="s">
        <v>56</v>
      </c>
      <c r="D244" s="38" t="s">
        <v>57</v>
      </c>
      <c r="E244" s="39" t="n">
        <v>1.47</v>
      </c>
    </row>
    <row r="245" customFormat="false" ht="15" hidden="false" customHeight="false" outlineLevel="0" collapsed="false">
      <c r="B245" s="36" t="s">
        <v>58</v>
      </c>
      <c r="C245" s="37" t="s">
        <v>91</v>
      </c>
      <c r="D245" s="38" t="s">
        <v>92</v>
      </c>
      <c r="E245" s="39" t="n">
        <v>1.5</v>
      </c>
    </row>
    <row r="246" customFormat="false" ht="15" hidden="false" customHeight="false" outlineLevel="0" collapsed="false">
      <c r="B246" s="36" t="s">
        <v>58</v>
      </c>
      <c r="C246" s="37" t="s">
        <v>59</v>
      </c>
      <c r="D246" s="38" t="s">
        <v>49</v>
      </c>
      <c r="E246" s="39" t="n">
        <v>1.27</v>
      </c>
    </row>
    <row r="247" customFormat="false" ht="15" hidden="false" customHeight="false" outlineLevel="0" collapsed="false">
      <c r="B247" s="36" t="s">
        <v>58</v>
      </c>
      <c r="C247" s="37" t="s">
        <v>105</v>
      </c>
      <c r="D247" s="38" t="s">
        <v>75</v>
      </c>
      <c r="E247" s="39" t="n">
        <v>1.32</v>
      </c>
    </row>
    <row r="248" customFormat="false" ht="15" hidden="false" customHeight="false" outlineLevel="0" collapsed="false">
      <c r="B248" s="36" t="s">
        <v>66</v>
      </c>
      <c r="C248" s="37" t="s">
        <v>67</v>
      </c>
      <c r="D248" s="38" t="s">
        <v>68</v>
      </c>
      <c r="E248" s="39" t="n">
        <v>1.34</v>
      </c>
    </row>
    <row r="249" customFormat="false" ht="15" hidden="false" customHeight="false" outlineLevel="0" collapsed="false">
      <c r="B249" s="36" t="s">
        <v>69</v>
      </c>
      <c r="C249" s="37" t="s">
        <v>71</v>
      </c>
      <c r="D249" s="38" t="s">
        <v>72</v>
      </c>
      <c r="E249" s="39" t="n">
        <v>1.47</v>
      </c>
    </row>
    <row r="250" customFormat="false" ht="15" hidden="false" customHeight="false" outlineLevel="0" collapsed="false">
      <c r="B250" s="36" t="s">
        <v>73</v>
      </c>
      <c r="C250" s="37" t="s">
        <v>76</v>
      </c>
      <c r="D250" s="38" t="s">
        <v>77</v>
      </c>
      <c r="E250" s="39" t="n">
        <v>1.2</v>
      </c>
    </row>
    <row r="252" customFormat="false" ht="23.85" hidden="false" customHeight="true" outlineLevel="0" collapsed="false">
      <c r="B252" s="34" t="s">
        <v>123</v>
      </c>
      <c r="C252" s="34"/>
      <c r="D252" s="34"/>
      <c r="E252" s="34"/>
    </row>
    <row r="253" customFormat="false" ht="15" hidden="false" customHeight="false" outlineLevel="0" collapsed="false">
      <c r="B253" s="35" t="s">
        <v>35</v>
      </c>
      <c r="C253" s="35" t="s">
        <v>36</v>
      </c>
      <c r="D253" s="35" t="s">
        <v>37</v>
      </c>
      <c r="E253" s="35" t="s">
        <v>38</v>
      </c>
    </row>
    <row r="254" customFormat="false" ht="15" hidden="false" customHeight="false" outlineLevel="0" collapsed="false">
      <c r="B254" s="36" t="s">
        <v>39</v>
      </c>
      <c r="C254" s="37" t="s">
        <v>40</v>
      </c>
      <c r="D254" s="38" t="s">
        <v>41</v>
      </c>
      <c r="E254" s="39" t="n">
        <v>1.45</v>
      </c>
    </row>
    <row r="255" customFormat="false" ht="15" hidden="false" customHeight="false" outlineLevel="0" collapsed="false">
      <c r="B255" s="36" t="s">
        <v>42</v>
      </c>
      <c r="C255" s="37" t="s">
        <v>45</v>
      </c>
      <c r="D255" s="38" t="s">
        <v>46</v>
      </c>
      <c r="E255" s="39" t="n">
        <v>1.8</v>
      </c>
    </row>
    <row r="256" customFormat="false" ht="15" hidden="false" customHeight="false" outlineLevel="0" collapsed="false">
      <c r="B256" s="36" t="s">
        <v>79</v>
      </c>
      <c r="C256" s="37" t="s">
        <v>80</v>
      </c>
      <c r="D256" s="38" t="s">
        <v>57</v>
      </c>
      <c r="E256" s="39" t="n">
        <v>1.5</v>
      </c>
    </row>
    <row r="257" customFormat="false" ht="15" hidden="false" customHeight="false" outlineLevel="0" collapsed="false">
      <c r="B257" s="36" t="s">
        <v>81</v>
      </c>
      <c r="C257" s="37" t="s">
        <v>110</v>
      </c>
      <c r="D257" s="38" t="s">
        <v>103</v>
      </c>
      <c r="E257" s="39" t="n">
        <v>1.47</v>
      </c>
    </row>
    <row r="258" customFormat="false" ht="15" hidden="false" customHeight="false" outlineLevel="0" collapsed="false">
      <c r="B258" s="36" t="s">
        <v>81</v>
      </c>
      <c r="C258" s="37" t="s">
        <v>84</v>
      </c>
      <c r="D258" s="38" t="s">
        <v>85</v>
      </c>
      <c r="E258" s="39" t="n">
        <v>1.34</v>
      </c>
    </row>
    <row r="259" customFormat="false" ht="15" hidden="false" customHeight="false" outlineLevel="0" collapsed="false">
      <c r="B259" s="36" t="s">
        <v>50</v>
      </c>
      <c r="C259" s="37" t="s">
        <v>51</v>
      </c>
      <c r="D259" s="38" t="s">
        <v>52</v>
      </c>
      <c r="E259" s="39" t="n">
        <v>2.05</v>
      </c>
    </row>
    <row r="260" customFormat="false" ht="15" hidden="false" customHeight="false" outlineLevel="0" collapsed="false">
      <c r="B260" s="36" t="s">
        <v>53</v>
      </c>
      <c r="C260" s="37" t="s">
        <v>54</v>
      </c>
      <c r="D260" s="38" t="s">
        <v>55</v>
      </c>
      <c r="E260" s="39" t="n">
        <v>1.47</v>
      </c>
    </row>
    <row r="261" customFormat="false" ht="15" hidden="false" customHeight="false" outlineLevel="0" collapsed="false">
      <c r="B261" s="36" t="s">
        <v>53</v>
      </c>
      <c r="C261" s="37" t="s">
        <v>56</v>
      </c>
      <c r="D261" s="38" t="s">
        <v>57</v>
      </c>
      <c r="E261" s="39" t="n">
        <v>1.47</v>
      </c>
    </row>
    <row r="262" customFormat="false" ht="15" hidden="false" customHeight="false" outlineLevel="0" collapsed="false">
      <c r="B262" s="36" t="s">
        <v>101</v>
      </c>
      <c r="C262" s="37" t="s">
        <v>102</v>
      </c>
      <c r="D262" s="38" t="s">
        <v>103</v>
      </c>
      <c r="E262" s="39" t="n">
        <v>1.12</v>
      </c>
    </row>
    <row r="263" customFormat="false" ht="15" hidden="false" customHeight="false" outlineLevel="0" collapsed="false">
      <c r="B263" s="36" t="s">
        <v>58</v>
      </c>
      <c r="C263" s="37" t="s">
        <v>91</v>
      </c>
      <c r="D263" s="38" t="s">
        <v>92</v>
      </c>
      <c r="E263" s="39" t="n">
        <v>1.5</v>
      </c>
    </row>
    <row r="264" customFormat="false" ht="15" hidden="false" customHeight="false" outlineLevel="0" collapsed="false">
      <c r="B264" s="36" t="s">
        <v>58</v>
      </c>
      <c r="C264" s="37" t="s">
        <v>104</v>
      </c>
      <c r="D264" s="38" t="s">
        <v>87</v>
      </c>
      <c r="E264" s="39" t="n">
        <v>1.52</v>
      </c>
    </row>
    <row r="265" customFormat="false" ht="15" hidden="false" customHeight="false" outlineLevel="0" collapsed="false">
      <c r="B265" s="36" t="s">
        <v>66</v>
      </c>
      <c r="C265" s="37" t="s">
        <v>67</v>
      </c>
      <c r="D265" s="38" t="s">
        <v>68</v>
      </c>
      <c r="E265" s="39" t="n">
        <v>1.34</v>
      </c>
    </row>
    <row r="266" customFormat="false" ht="15" hidden="false" customHeight="false" outlineLevel="0" collapsed="false">
      <c r="B266" s="36" t="s">
        <v>69</v>
      </c>
      <c r="C266" s="37" t="s">
        <v>71</v>
      </c>
      <c r="D266" s="38" t="s">
        <v>72</v>
      </c>
      <c r="E266" s="39" t="n">
        <v>1.47</v>
      </c>
    </row>
    <row r="268" customFormat="false" ht="23.85" hidden="false" customHeight="true" outlineLevel="0" collapsed="false">
      <c r="B268" s="34" t="s">
        <v>124</v>
      </c>
      <c r="C268" s="34"/>
      <c r="D268" s="34"/>
      <c r="E268" s="34"/>
    </row>
    <row r="269" customFormat="false" ht="15" hidden="false" customHeight="false" outlineLevel="0" collapsed="false">
      <c r="B269" s="35" t="s">
        <v>35</v>
      </c>
      <c r="C269" s="35" t="s">
        <v>36</v>
      </c>
      <c r="D269" s="35" t="s">
        <v>37</v>
      </c>
      <c r="E269" s="35" t="s">
        <v>38</v>
      </c>
    </row>
    <row r="270" customFormat="false" ht="15" hidden="false" customHeight="false" outlineLevel="0" collapsed="false">
      <c r="B270" s="36" t="s">
        <v>42</v>
      </c>
      <c r="C270" s="37" t="s">
        <v>43</v>
      </c>
      <c r="D270" s="38" t="s">
        <v>44</v>
      </c>
      <c r="E270" s="39" t="n">
        <v>1.26</v>
      </c>
    </row>
    <row r="271" customFormat="false" ht="15" hidden="false" customHeight="false" outlineLevel="0" collapsed="false">
      <c r="B271" s="36" t="s">
        <v>79</v>
      </c>
      <c r="C271" s="37" t="s">
        <v>80</v>
      </c>
      <c r="D271" s="38" t="s">
        <v>57</v>
      </c>
      <c r="E271" s="39" t="n">
        <v>1.5</v>
      </c>
    </row>
    <row r="272" customFormat="false" ht="15" hidden="false" customHeight="false" outlineLevel="0" collapsed="false">
      <c r="B272" s="36" t="s">
        <v>81</v>
      </c>
      <c r="C272" s="37" t="s">
        <v>110</v>
      </c>
      <c r="D272" s="38" t="s">
        <v>103</v>
      </c>
      <c r="E272" s="39" t="n">
        <v>1.47</v>
      </c>
    </row>
    <row r="273" customFormat="false" ht="15" hidden="false" customHeight="false" outlineLevel="0" collapsed="false">
      <c r="B273" s="36" t="s">
        <v>81</v>
      </c>
      <c r="C273" s="37" t="s">
        <v>84</v>
      </c>
      <c r="D273" s="38" t="s">
        <v>85</v>
      </c>
      <c r="E273" s="39" t="n">
        <v>1.34</v>
      </c>
    </row>
    <row r="274" customFormat="false" ht="15" hidden="false" customHeight="false" outlineLevel="0" collapsed="false">
      <c r="B274" s="36" t="s">
        <v>47</v>
      </c>
      <c r="C274" s="37" t="s">
        <v>96</v>
      </c>
      <c r="D274" s="38" t="s">
        <v>97</v>
      </c>
      <c r="E274" s="39" t="n">
        <v>1.29</v>
      </c>
    </row>
    <row r="275" customFormat="false" ht="15" hidden="false" customHeight="false" outlineLevel="0" collapsed="false">
      <c r="B275" s="36" t="s">
        <v>47</v>
      </c>
      <c r="C275" s="37" t="s">
        <v>86</v>
      </c>
      <c r="D275" s="38" t="s">
        <v>87</v>
      </c>
      <c r="E275" s="39" t="n">
        <v>1.42</v>
      </c>
    </row>
    <row r="276" customFormat="false" ht="15" hidden="false" customHeight="false" outlineLevel="0" collapsed="false">
      <c r="B276" s="36" t="s">
        <v>50</v>
      </c>
      <c r="C276" s="37" t="s">
        <v>51</v>
      </c>
      <c r="D276" s="38" t="s">
        <v>52</v>
      </c>
      <c r="E276" s="39" t="n">
        <v>2.05</v>
      </c>
    </row>
    <row r="277" customFormat="false" ht="15" hidden="false" customHeight="false" outlineLevel="0" collapsed="false">
      <c r="B277" s="36" t="s">
        <v>53</v>
      </c>
      <c r="C277" s="37" t="s">
        <v>113</v>
      </c>
      <c r="D277" s="38" t="s">
        <v>95</v>
      </c>
      <c r="E277" s="39" t="n">
        <v>1.13</v>
      </c>
    </row>
    <row r="278" customFormat="false" ht="15" hidden="false" customHeight="false" outlineLevel="0" collapsed="false">
      <c r="B278" s="36" t="s">
        <v>53</v>
      </c>
      <c r="C278" s="37" t="s">
        <v>56</v>
      </c>
      <c r="D278" s="38" t="s">
        <v>57</v>
      </c>
      <c r="E278" s="39" t="n">
        <v>1.47</v>
      </c>
    </row>
    <row r="279" customFormat="false" ht="15" hidden="false" customHeight="false" outlineLevel="0" collapsed="false">
      <c r="B279" s="36" t="s">
        <v>53</v>
      </c>
      <c r="C279" s="37" t="s">
        <v>107</v>
      </c>
      <c r="D279" s="38" t="s">
        <v>108</v>
      </c>
      <c r="E279" s="39" t="n">
        <v>1.19</v>
      </c>
    </row>
    <row r="280" customFormat="false" ht="15" hidden="false" customHeight="false" outlineLevel="0" collapsed="false">
      <c r="B280" s="36" t="s">
        <v>101</v>
      </c>
      <c r="C280" s="37" t="s">
        <v>102</v>
      </c>
      <c r="D280" s="38" t="s">
        <v>103</v>
      </c>
      <c r="E280" s="39" t="n">
        <v>1.12</v>
      </c>
    </row>
    <row r="281" customFormat="false" ht="15" hidden="false" customHeight="false" outlineLevel="0" collapsed="false">
      <c r="B281" s="36" t="s">
        <v>58</v>
      </c>
      <c r="C281" s="37" t="s">
        <v>91</v>
      </c>
      <c r="D281" s="38" t="s">
        <v>92</v>
      </c>
      <c r="E281" s="39" t="n">
        <v>1.5</v>
      </c>
    </row>
    <row r="282" customFormat="false" ht="15" hidden="false" customHeight="false" outlineLevel="0" collapsed="false">
      <c r="B282" s="36" t="s">
        <v>60</v>
      </c>
      <c r="C282" s="37" t="s">
        <v>61</v>
      </c>
      <c r="D282" s="38" t="s">
        <v>52</v>
      </c>
      <c r="E282" s="39" t="n">
        <v>1.26</v>
      </c>
    </row>
    <row r="283" customFormat="false" ht="15" hidden="false" customHeight="false" outlineLevel="0" collapsed="false">
      <c r="B283" s="36" t="s">
        <v>60</v>
      </c>
      <c r="C283" s="37" t="s">
        <v>64</v>
      </c>
      <c r="D283" s="38" t="s">
        <v>65</v>
      </c>
      <c r="E283" s="39" t="n">
        <v>1.4</v>
      </c>
    </row>
    <row r="284" customFormat="false" ht="15" hidden="false" customHeight="false" outlineLevel="0" collapsed="false">
      <c r="B284" s="36" t="s">
        <v>66</v>
      </c>
      <c r="C284" s="37" t="s">
        <v>67</v>
      </c>
      <c r="D284" s="38" t="s">
        <v>68</v>
      </c>
      <c r="E284" s="39" t="n">
        <v>1.34</v>
      </c>
    </row>
    <row r="285" customFormat="false" ht="15" hidden="false" customHeight="false" outlineLevel="0" collapsed="false">
      <c r="B285" s="36" t="s">
        <v>69</v>
      </c>
      <c r="C285" s="37" t="s">
        <v>70</v>
      </c>
      <c r="D285" s="38" t="s">
        <v>55</v>
      </c>
      <c r="E285" s="39" t="n">
        <v>1.3</v>
      </c>
    </row>
    <row r="286" customFormat="false" ht="15" hidden="false" customHeight="false" outlineLevel="0" collapsed="false">
      <c r="B286" s="36" t="s">
        <v>73</v>
      </c>
      <c r="C286" s="37" t="s">
        <v>74</v>
      </c>
      <c r="D286" s="38" t="s">
        <v>75</v>
      </c>
      <c r="E286" s="39" t="n">
        <v>1.2</v>
      </c>
    </row>
    <row r="288" customFormat="false" ht="23.85" hidden="false" customHeight="true" outlineLevel="0" collapsed="false">
      <c r="B288" s="34" t="s">
        <v>125</v>
      </c>
      <c r="C288" s="34"/>
      <c r="D288" s="34"/>
      <c r="E288" s="34"/>
    </row>
    <row r="289" customFormat="false" ht="15" hidden="false" customHeight="false" outlineLevel="0" collapsed="false">
      <c r="B289" s="35" t="s">
        <v>35</v>
      </c>
      <c r="C289" s="35" t="s">
        <v>36</v>
      </c>
      <c r="D289" s="35" t="s">
        <v>37</v>
      </c>
      <c r="E289" s="35" t="s">
        <v>38</v>
      </c>
    </row>
    <row r="290" customFormat="false" ht="15" hidden="false" customHeight="false" outlineLevel="0" collapsed="false">
      <c r="B290" s="36" t="s">
        <v>39</v>
      </c>
      <c r="C290" s="37" t="s">
        <v>40</v>
      </c>
      <c r="D290" s="38" t="s">
        <v>41</v>
      </c>
      <c r="E290" s="39" t="n">
        <v>1.45</v>
      </c>
    </row>
    <row r="291" customFormat="false" ht="15" hidden="false" customHeight="false" outlineLevel="0" collapsed="false">
      <c r="B291" s="36" t="s">
        <v>42</v>
      </c>
      <c r="C291" s="37" t="s">
        <v>45</v>
      </c>
      <c r="D291" s="38" t="s">
        <v>46</v>
      </c>
      <c r="E291" s="39" t="n">
        <v>1.8</v>
      </c>
    </row>
    <row r="292" customFormat="false" ht="15" hidden="false" customHeight="false" outlineLevel="0" collapsed="false">
      <c r="B292" s="36" t="s">
        <v>42</v>
      </c>
      <c r="C292" s="37" t="s">
        <v>43</v>
      </c>
      <c r="D292" s="38" t="s">
        <v>44</v>
      </c>
      <c r="E292" s="39" t="n">
        <v>1.26</v>
      </c>
    </row>
    <row r="293" customFormat="false" ht="15" hidden="false" customHeight="false" outlineLevel="0" collapsed="false">
      <c r="B293" s="36" t="s">
        <v>79</v>
      </c>
      <c r="C293" s="37" t="s">
        <v>80</v>
      </c>
      <c r="D293" s="38" t="s">
        <v>57</v>
      </c>
      <c r="E293" s="39" t="n">
        <v>1.5</v>
      </c>
    </row>
    <row r="294" customFormat="false" ht="15" hidden="false" customHeight="false" outlineLevel="0" collapsed="false">
      <c r="B294" s="36" t="s">
        <v>47</v>
      </c>
      <c r="C294" s="37" t="s">
        <v>48</v>
      </c>
      <c r="D294" s="38" t="s">
        <v>49</v>
      </c>
      <c r="E294" s="39" t="n">
        <v>1.28</v>
      </c>
    </row>
    <row r="295" customFormat="false" ht="15" hidden="false" customHeight="false" outlineLevel="0" collapsed="false">
      <c r="B295" s="36" t="s">
        <v>47</v>
      </c>
      <c r="C295" s="37" t="s">
        <v>96</v>
      </c>
      <c r="D295" s="38" t="s">
        <v>97</v>
      </c>
      <c r="E295" s="39" t="n">
        <v>1.29</v>
      </c>
    </row>
    <row r="296" customFormat="false" ht="15" hidden="false" customHeight="false" outlineLevel="0" collapsed="false">
      <c r="B296" s="36" t="s">
        <v>88</v>
      </c>
      <c r="C296" s="37" t="s">
        <v>89</v>
      </c>
      <c r="D296" s="38" t="s">
        <v>90</v>
      </c>
      <c r="E296" s="39" t="n">
        <v>1.27</v>
      </c>
    </row>
    <row r="297" customFormat="false" ht="15" hidden="false" customHeight="false" outlineLevel="0" collapsed="false">
      <c r="B297" s="36" t="s">
        <v>53</v>
      </c>
      <c r="C297" s="37" t="s">
        <v>113</v>
      </c>
      <c r="D297" s="38" t="s">
        <v>95</v>
      </c>
      <c r="E297" s="39" t="n">
        <v>1.13</v>
      </c>
    </row>
    <row r="298" customFormat="false" ht="15" hidden="false" customHeight="false" outlineLevel="0" collapsed="false">
      <c r="B298" s="36" t="s">
        <v>53</v>
      </c>
      <c r="C298" s="37" t="s">
        <v>54</v>
      </c>
      <c r="D298" s="38" t="s">
        <v>55</v>
      </c>
      <c r="E298" s="39" t="n">
        <v>1.47</v>
      </c>
    </row>
    <row r="299" customFormat="false" ht="15" hidden="false" customHeight="false" outlineLevel="0" collapsed="false">
      <c r="B299" s="36" t="s">
        <v>53</v>
      </c>
      <c r="C299" s="37" t="s">
        <v>56</v>
      </c>
      <c r="D299" s="38" t="s">
        <v>57</v>
      </c>
      <c r="E299" s="39" t="n">
        <v>1.47</v>
      </c>
    </row>
    <row r="300" customFormat="false" ht="15" hidden="false" customHeight="false" outlineLevel="0" collapsed="false">
      <c r="B300" s="36" t="s">
        <v>58</v>
      </c>
      <c r="C300" s="37" t="s">
        <v>91</v>
      </c>
      <c r="D300" s="38" t="s">
        <v>92</v>
      </c>
      <c r="E300" s="39" t="n">
        <v>1.5</v>
      </c>
    </row>
    <row r="301" customFormat="false" ht="15" hidden="false" customHeight="false" outlineLevel="0" collapsed="false">
      <c r="B301" s="36" t="s">
        <v>58</v>
      </c>
      <c r="C301" s="37" t="s">
        <v>59</v>
      </c>
      <c r="D301" s="38" t="s">
        <v>49</v>
      </c>
      <c r="E301" s="39" t="n">
        <v>1.27</v>
      </c>
    </row>
    <row r="302" customFormat="false" ht="15" hidden="false" customHeight="false" outlineLevel="0" collapsed="false">
      <c r="B302" s="36" t="s">
        <v>58</v>
      </c>
      <c r="C302" s="37" t="s">
        <v>105</v>
      </c>
      <c r="D302" s="38" t="s">
        <v>75</v>
      </c>
      <c r="E302" s="39" t="n">
        <v>1.32</v>
      </c>
    </row>
    <row r="303" customFormat="false" ht="15" hidden="false" customHeight="false" outlineLevel="0" collapsed="false">
      <c r="B303" s="36" t="s">
        <v>60</v>
      </c>
      <c r="C303" s="37" t="s">
        <v>64</v>
      </c>
      <c r="D303" s="38" t="s">
        <v>65</v>
      </c>
      <c r="E303" s="39" t="n">
        <v>1.4</v>
      </c>
    </row>
    <row r="304" customFormat="false" ht="15" hidden="false" customHeight="false" outlineLevel="0" collapsed="false">
      <c r="B304" s="36" t="s">
        <v>60</v>
      </c>
      <c r="C304" s="37" t="s">
        <v>61</v>
      </c>
      <c r="D304" s="38" t="s">
        <v>52</v>
      </c>
      <c r="E304" s="39" t="n">
        <v>1.26</v>
      </c>
    </row>
    <row r="305" customFormat="false" ht="15" hidden="false" customHeight="false" outlineLevel="0" collapsed="false">
      <c r="B305" s="36" t="s">
        <v>60</v>
      </c>
      <c r="C305" s="37" t="s">
        <v>62</v>
      </c>
      <c r="D305" s="38" t="s">
        <v>63</v>
      </c>
      <c r="E305" s="39" t="n">
        <v>1.27</v>
      </c>
    </row>
    <row r="306" customFormat="false" ht="15" hidden="false" customHeight="false" outlineLevel="0" collapsed="false">
      <c r="B306" s="36" t="s">
        <v>73</v>
      </c>
      <c r="C306" s="37" t="s">
        <v>74</v>
      </c>
      <c r="D306" s="38" t="s">
        <v>75</v>
      </c>
      <c r="E306" s="39" t="n">
        <v>1.2</v>
      </c>
    </row>
    <row r="308" customFormat="false" ht="23.85" hidden="false" customHeight="true" outlineLevel="0" collapsed="false">
      <c r="B308" s="34" t="s">
        <v>126</v>
      </c>
      <c r="C308" s="34"/>
      <c r="D308" s="34"/>
      <c r="E308" s="34"/>
    </row>
    <row r="309" customFormat="false" ht="15" hidden="false" customHeight="false" outlineLevel="0" collapsed="false">
      <c r="B309" s="35" t="s">
        <v>35</v>
      </c>
      <c r="C309" s="35" t="s">
        <v>36</v>
      </c>
      <c r="D309" s="35" t="s">
        <v>37</v>
      </c>
      <c r="E309" s="35" t="s">
        <v>38</v>
      </c>
    </row>
    <row r="310" customFormat="false" ht="15" hidden="false" customHeight="false" outlineLevel="0" collapsed="false">
      <c r="B310" s="36" t="s">
        <v>42</v>
      </c>
      <c r="C310" s="37" t="s">
        <v>45</v>
      </c>
      <c r="D310" s="38" t="s">
        <v>46</v>
      </c>
      <c r="E310" s="39" t="n">
        <v>1.8</v>
      </c>
    </row>
    <row r="311" customFormat="false" ht="15" hidden="false" customHeight="false" outlineLevel="0" collapsed="false">
      <c r="B311" s="36" t="s">
        <v>79</v>
      </c>
      <c r="C311" s="37" t="s">
        <v>80</v>
      </c>
      <c r="D311" s="38" t="s">
        <v>57</v>
      </c>
      <c r="E311" s="39" t="n">
        <v>1.5</v>
      </c>
    </row>
    <row r="312" customFormat="false" ht="15" hidden="false" customHeight="false" outlineLevel="0" collapsed="false">
      <c r="B312" s="36" t="s">
        <v>81</v>
      </c>
      <c r="C312" s="37" t="s">
        <v>110</v>
      </c>
      <c r="D312" s="38" t="s">
        <v>103</v>
      </c>
      <c r="E312" s="39" t="n">
        <v>1.47</v>
      </c>
    </row>
    <row r="313" customFormat="false" ht="15" hidden="false" customHeight="false" outlineLevel="0" collapsed="false">
      <c r="B313" s="36" t="s">
        <v>47</v>
      </c>
      <c r="C313" s="37" t="s">
        <v>48</v>
      </c>
      <c r="D313" s="38" t="s">
        <v>49</v>
      </c>
      <c r="E313" s="39" t="n">
        <v>1.28</v>
      </c>
    </row>
    <row r="314" customFormat="false" ht="15" hidden="false" customHeight="false" outlineLevel="0" collapsed="false">
      <c r="B314" s="36" t="s">
        <v>47</v>
      </c>
      <c r="C314" s="37" t="s">
        <v>86</v>
      </c>
      <c r="D314" s="38" t="s">
        <v>87</v>
      </c>
      <c r="E314" s="39" t="n">
        <v>1.42</v>
      </c>
    </row>
    <row r="315" customFormat="false" ht="15" hidden="false" customHeight="false" outlineLevel="0" collapsed="false">
      <c r="B315" s="36" t="s">
        <v>98</v>
      </c>
      <c r="C315" s="37" t="s">
        <v>99</v>
      </c>
      <c r="D315" s="38" t="s">
        <v>100</v>
      </c>
      <c r="E315" s="39" t="n">
        <v>1.27</v>
      </c>
    </row>
    <row r="316" customFormat="false" ht="15" hidden="false" customHeight="false" outlineLevel="0" collapsed="false">
      <c r="B316" s="36" t="s">
        <v>50</v>
      </c>
      <c r="C316" s="37" t="s">
        <v>51</v>
      </c>
      <c r="D316" s="38" t="s">
        <v>52</v>
      </c>
      <c r="E316" s="39" t="n">
        <v>2.05</v>
      </c>
    </row>
    <row r="317" customFormat="false" ht="15" hidden="false" customHeight="false" outlineLevel="0" collapsed="false">
      <c r="B317" s="36" t="s">
        <v>53</v>
      </c>
      <c r="C317" s="37" t="s">
        <v>54</v>
      </c>
      <c r="D317" s="38" t="s">
        <v>55</v>
      </c>
      <c r="E317" s="39" t="n">
        <v>1.47</v>
      </c>
    </row>
    <row r="318" customFormat="false" ht="15" hidden="false" customHeight="false" outlineLevel="0" collapsed="false">
      <c r="B318" s="36" t="s">
        <v>53</v>
      </c>
      <c r="C318" s="37" t="s">
        <v>56</v>
      </c>
      <c r="D318" s="38" t="s">
        <v>57</v>
      </c>
      <c r="E318" s="39" t="n">
        <v>1.47</v>
      </c>
    </row>
    <row r="319" customFormat="false" ht="15" hidden="false" customHeight="false" outlineLevel="0" collapsed="false">
      <c r="B319" s="36" t="s">
        <v>58</v>
      </c>
      <c r="C319" s="37" t="s">
        <v>104</v>
      </c>
      <c r="D319" s="38" t="s">
        <v>87</v>
      </c>
      <c r="E319" s="39" t="n">
        <v>1.52</v>
      </c>
    </row>
    <row r="320" customFormat="false" ht="15" hidden="false" customHeight="false" outlineLevel="0" collapsed="false">
      <c r="B320" s="36" t="s">
        <v>58</v>
      </c>
      <c r="C320" s="37" t="s">
        <v>59</v>
      </c>
      <c r="D320" s="38" t="s">
        <v>49</v>
      </c>
      <c r="E320" s="39" t="n">
        <v>1.27</v>
      </c>
    </row>
    <row r="321" customFormat="false" ht="15" hidden="false" customHeight="false" outlineLevel="0" collapsed="false">
      <c r="B321" s="36" t="s">
        <v>58</v>
      </c>
      <c r="C321" s="37" t="s">
        <v>105</v>
      </c>
      <c r="D321" s="38" t="s">
        <v>75</v>
      </c>
      <c r="E321" s="39" t="n">
        <v>1.32</v>
      </c>
    </row>
    <row r="322" customFormat="false" ht="15" hidden="false" customHeight="false" outlineLevel="0" collapsed="false">
      <c r="B322" s="36" t="s">
        <v>60</v>
      </c>
      <c r="C322" s="37" t="s">
        <v>62</v>
      </c>
      <c r="D322" s="38" t="s">
        <v>63</v>
      </c>
      <c r="E322" s="39" t="n">
        <v>1.27</v>
      </c>
    </row>
    <row r="323" customFormat="false" ht="15" hidden="false" customHeight="false" outlineLevel="0" collapsed="false">
      <c r="B323" s="36" t="s">
        <v>69</v>
      </c>
      <c r="C323" s="37" t="s">
        <v>70</v>
      </c>
      <c r="D323" s="38" t="s">
        <v>55</v>
      </c>
      <c r="E323" s="39" t="n">
        <v>1.3</v>
      </c>
    </row>
    <row r="325" customFormat="false" ht="23.85" hidden="false" customHeight="true" outlineLevel="0" collapsed="false">
      <c r="B325" s="34" t="s">
        <v>127</v>
      </c>
      <c r="C325" s="34"/>
      <c r="D325" s="34"/>
      <c r="E325" s="34"/>
    </row>
    <row r="326" customFormat="false" ht="15" hidden="false" customHeight="false" outlineLevel="0" collapsed="false">
      <c r="B326" s="35" t="s">
        <v>35</v>
      </c>
      <c r="C326" s="35" t="s">
        <v>36</v>
      </c>
      <c r="D326" s="35" t="s">
        <v>37</v>
      </c>
      <c r="E326" s="35" t="s">
        <v>38</v>
      </c>
    </row>
    <row r="327" customFormat="false" ht="15" hidden="false" customHeight="false" outlineLevel="0" collapsed="false">
      <c r="B327" s="36" t="s">
        <v>42</v>
      </c>
      <c r="C327" s="37" t="s">
        <v>43</v>
      </c>
      <c r="D327" s="38" t="s">
        <v>44</v>
      </c>
      <c r="E327" s="39" t="n">
        <v>1.26</v>
      </c>
    </row>
    <row r="328" customFormat="false" ht="15" hidden="false" customHeight="false" outlineLevel="0" collapsed="false">
      <c r="B328" s="36" t="s">
        <v>42</v>
      </c>
      <c r="C328" s="37" t="s">
        <v>45</v>
      </c>
      <c r="D328" s="38" t="s">
        <v>46</v>
      </c>
      <c r="E328" s="39" t="n">
        <v>1.8</v>
      </c>
    </row>
    <row r="329" customFormat="false" ht="15" hidden="false" customHeight="false" outlineLevel="0" collapsed="false">
      <c r="B329" s="36" t="s">
        <v>81</v>
      </c>
      <c r="C329" s="37" t="s">
        <v>110</v>
      </c>
      <c r="D329" s="38" t="s">
        <v>103</v>
      </c>
      <c r="E329" s="39" t="n">
        <v>1.47</v>
      </c>
    </row>
    <row r="330" customFormat="false" ht="15" hidden="false" customHeight="false" outlineLevel="0" collapsed="false">
      <c r="B330" s="36" t="s">
        <v>81</v>
      </c>
      <c r="C330" s="37" t="s">
        <v>82</v>
      </c>
      <c r="D330" s="38" t="s">
        <v>83</v>
      </c>
      <c r="E330" s="39" t="n">
        <v>1.23</v>
      </c>
    </row>
    <row r="331" customFormat="false" ht="15" hidden="false" customHeight="false" outlineLevel="0" collapsed="false">
      <c r="B331" s="36" t="s">
        <v>47</v>
      </c>
      <c r="C331" s="37" t="s">
        <v>48</v>
      </c>
      <c r="D331" s="38" t="s">
        <v>49</v>
      </c>
      <c r="E331" s="39" t="n">
        <v>1.28</v>
      </c>
    </row>
    <row r="332" customFormat="false" ht="15" hidden="false" customHeight="false" outlineLevel="0" collapsed="false">
      <c r="B332" s="36" t="s">
        <v>47</v>
      </c>
      <c r="C332" s="37" t="s">
        <v>96</v>
      </c>
      <c r="D332" s="38" t="s">
        <v>97</v>
      </c>
      <c r="E332" s="39" t="n">
        <v>1.29</v>
      </c>
    </row>
    <row r="333" customFormat="false" ht="15" hidden="false" customHeight="false" outlineLevel="0" collapsed="false">
      <c r="B333" s="36" t="s">
        <v>47</v>
      </c>
      <c r="C333" s="37" t="s">
        <v>86</v>
      </c>
      <c r="D333" s="38" t="s">
        <v>87</v>
      </c>
      <c r="E333" s="39" t="n">
        <v>1.42</v>
      </c>
    </row>
    <row r="334" customFormat="false" ht="15" hidden="false" customHeight="false" outlineLevel="0" collapsed="false">
      <c r="B334" s="36" t="s">
        <v>53</v>
      </c>
      <c r="C334" s="37" t="s">
        <v>54</v>
      </c>
      <c r="D334" s="38" t="s">
        <v>55</v>
      </c>
      <c r="E334" s="39" t="n">
        <v>1.47</v>
      </c>
    </row>
    <row r="335" customFormat="false" ht="15" hidden="false" customHeight="false" outlineLevel="0" collapsed="false">
      <c r="B335" s="36" t="s">
        <v>53</v>
      </c>
      <c r="C335" s="37" t="s">
        <v>107</v>
      </c>
      <c r="D335" s="38" t="s">
        <v>108</v>
      </c>
      <c r="E335" s="39" t="n">
        <v>1.19</v>
      </c>
    </row>
    <row r="336" customFormat="false" ht="15" hidden="false" customHeight="false" outlineLevel="0" collapsed="false">
      <c r="B336" s="36" t="s">
        <v>58</v>
      </c>
      <c r="C336" s="37" t="s">
        <v>91</v>
      </c>
      <c r="D336" s="38" t="s">
        <v>92</v>
      </c>
      <c r="E336" s="39" t="n">
        <v>1.5</v>
      </c>
    </row>
    <row r="337" customFormat="false" ht="15" hidden="false" customHeight="false" outlineLevel="0" collapsed="false">
      <c r="B337" s="36" t="s">
        <v>58</v>
      </c>
      <c r="C337" s="37" t="s">
        <v>104</v>
      </c>
      <c r="D337" s="38" t="s">
        <v>87</v>
      </c>
      <c r="E337" s="39" t="n">
        <v>1.52</v>
      </c>
    </row>
    <row r="338" customFormat="false" ht="15" hidden="false" customHeight="false" outlineLevel="0" collapsed="false">
      <c r="B338" s="36" t="s">
        <v>58</v>
      </c>
      <c r="C338" s="37" t="s">
        <v>59</v>
      </c>
      <c r="D338" s="38" t="s">
        <v>49</v>
      </c>
      <c r="E338" s="39" t="n">
        <v>1.27</v>
      </c>
    </row>
    <row r="339" customFormat="false" ht="15" hidden="false" customHeight="false" outlineLevel="0" collapsed="false">
      <c r="B339" s="36" t="s">
        <v>60</v>
      </c>
      <c r="C339" s="37" t="s">
        <v>62</v>
      </c>
      <c r="D339" s="38" t="s">
        <v>63</v>
      </c>
      <c r="E339" s="39" t="n">
        <v>1.27</v>
      </c>
    </row>
    <row r="340" customFormat="false" ht="15" hidden="false" customHeight="false" outlineLevel="0" collapsed="false">
      <c r="B340" s="36" t="s">
        <v>69</v>
      </c>
      <c r="C340" s="37" t="s">
        <v>71</v>
      </c>
      <c r="D340" s="38" t="s">
        <v>72</v>
      </c>
      <c r="E340" s="39" t="n">
        <v>1.47</v>
      </c>
    </row>
    <row r="341" customFormat="false" ht="15" hidden="false" customHeight="false" outlineLevel="0" collapsed="false">
      <c r="B341" s="36" t="s">
        <v>69</v>
      </c>
      <c r="C341" s="37" t="s">
        <v>70</v>
      </c>
      <c r="D341" s="38" t="s">
        <v>55</v>
      </c>
      <c r="E341" s="39" t="n">
        <v>1.3</v>
      </c>
    </row>
    <row r="342" customFormat="false" ht="15" hidden="false" customHeight="false" outlineLevel="0" collapsed="false">
      <c r="B342" s="36" t="s">
        <v>73</v>
      </c>
      <c r="C342" s="37" t="s">
        <v>74</v>
      </c>
      <c r="D342" s="38" t="s">
        <v>75</v>
      </c>
      <c r="E342" s="39" t="n">
        <v>1.2</v>
      </c>
    </row>
    <row r="343" customFormat="false" ht="15" hidden="false" customHeight="false" outlineLevel="0" collapsed="false">
      <c r="B343" s="36" t="s">
        <v>73</v>
      </c>
      <c r="C343" s="37" t="s">
        <v>76</v>
      </c>
      <c r="D343" s="38" t="s">
        <v>77</v>
      </c>
      <c r="E343" s="39" t="n">
        <v>1.2</v>
      </c>
    </row>
  </sheetData>
  <mergeCells count="19">
    <mergeCell ref="B2:E2"/>
    <mergeCell ref="B4:E4"/>
    <mergeCell ref="B23:E23"/>
    <mergeCell ref="B41:E41"/>
    <mergeCell ref="B60:E60"/>
    <mergeCell ref="B79:E79"/>
    <mergeCell ref="B99:E99"/>
    <mergeCell ref="B117:E117"/>
    <mergeCell ref="B137:E137"/>
    <mergeCell ref="B157:E157"/>
    <mergeCell ref="B176:E176"/>
    <mergeCell ref="B196:E196"/>
    <mergeCell ref="B214:E214"/>
    <mergeCell ref="B232:E232"/>
    <mergeCell ref="B252:E252"/>
    <mergeCell ref="B268:E268"/>
    <mergeCell ref="B288:E288"/>
    <mergeCell ref="B308:E308"/>
    <mergeCell ref="B325:E3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V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22" min="5" style="0" width="4.2"/>
  </cols>
  <sheetData>
    <row r="2" customFormat="false" ht="24" hidden="false" customHeight="true" outlineLevel="0" collapsed="false">
      <c r="B2" s="40" t="s">
        <v>128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</row>
    <row r="3" customFormat="false" ht="21.75" hidden="false" customHeight="true" outlineLevel="0" collapsed="false">
      <c r="B3" s="2" t="s">
        <v>129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5" customFormat="false" ht="18" hidden="false" customHeight="true" outlineLevel="0" collapsed="false">
      <c r="B5" s="35" t="s">
        <v>35</v>
      </c>
      <c r="C5" s="35" t="s">
        <v>36</v>
      </c>
      <c r="D5" s="35" t="s">
        <v>37</v>
      </c>
      <c r="E5" s="35" t="n">
        <v>1</v>
      </c>
      <c r="F5" s="35" t="n">
        <v>2</v>
      </c>
      <c r="G5" s="35" t="n">
        <v>3</v>
      </c>
      <c r="H5" s="35" t="n">
        <v>4</v>
      </c>
      <c r="I5" s="35" t="n">
        <v>5</v>
      </c>
      <c r="J5" s="35" t="n">
        <v>6</v>
      </c>
      <c r="K5" s="35" t="n">
        <v>7</v>
      </c>
      <c r="L5" s="35" t="n">
        <v>8</v>
      </c>
      <c r="M5" s="35" t="n">
        <v>9</v>
      </c>
      <c r="N5" s="35" t="n">
        <v>10</v>
      </c>
      <c r="O5" s="35" t="n">
        <v>11</v>
      </c>
      <c r="P5" s="35" t="n">
        <v>12</v>
      </c>
      <c r="Q5" s="35" t="n">
        <v>13</v>
      </c>
      <c r="R5" s="35" t="n">
        <v>14</v>
      </c>
      <c r="S5" s="35" t="n">
        <v>15</v>
      </c>
      <c r="T5" s="35" t="n">
        <v>16</v>
      </c>
      <c r="U5" s="35" t="n">
        <v>17</v>
      </c>
      <c r="V5" s="35" t="n">
        <v>18</v>
      </c>
    </row>
    <row r="6" customFormat="false" ht="15" hidden="false" customHeight="false" outlineLevel="0" collapsed="false">
      <c r="B6" s="41" t="s">
        <v>39</v>
      </c>
      <c r="C6" s="42" t="s">
        <v>40</v>
      </c>
      <c r="D6" s="43" t="s">
        <v>41</v>
      </c>
      <c r="E6" s="44" t="s">
        <v>130</v>
      </c>
      <c r="F6" s="45"/>
      <c r="G6" s="45"/>
      <c r="H6" s="44" t="s">
        <v>130</v>
      </c>
      <c r="I6" s="44" t="s">
        <v>130</v>
      </c>
      <c r="J6" s="45"/>
      <c r="K6" s="44" t="s">
        <v>130</v>
      </c>
      <c r="L6" s="45"/>
      <c r="M6" s="44" t="s">
        <v>130</v>
      </c>
      <c r="N6" s="44" t="s">
        <v>130</v>
      </c>
      <c r="O6" s="44" t="s">
        <v>130</v>
      </c>
      <c r="P6" s="44" t="s">
        <v>130</v>
      </c>
      <c r="Q6" s="44" t="s">
        <v>130</v>
      </c>
      <c r="R6" s="44" t="s">
        <v>130</v>
      </c>
      <c r="S6" s="45"/>
      <c r="T6" s="44" t="s">
        <v>130</v>
      </c>
      <c r="U6" s="45"/>
      <c r="V6" s="45"/>
    </row>
    <row r="7" customFormat="false" ht="15" hidden="false" customHeight="false" outlineLevel="0" collapsed="false">
      <c r="B7" s="41" t="s">
        <v>42</v>
      </c>
      <c r="C7" s="42" t="s">
        <v>43</v>
      </c>
      <c r="D7" s="43" t="s">
        <v>44</v>
      </c>
      <c r="E7" s="44" t="s">
        <v>130</v>
      </c>
      <c r="F7" s="44" t="s">
        <v>130</v>
      </c>
      <c r="G7" s="44" t="s">
        <v>130</v>
      </c>
      <c r="H7" s="45"/>
      <c r="I7" s="45"/>
      <c r="J7" s="45"/>
      <c r="K7" s="44" t="s">
        <v>130</v>
      </c>
      <c r="L7" s="45"/>
      <c r="M7" s="45"/>
      <c r="N7" s="45"/>
      <c r="O7" s="44" t="s">
        <v>130</v>
      </c>
      <c r="P7" s="45"/>
      <c r="Q7" s="44" t="s">
        <v>130</v>
      </c>
      <c r="R7" s="45"/>
      <c r="S7" s="44" t="s">
        <v>130</v>
      </c>
      <c r="T7" s="44" t="s">
        <v>130</v>
      </c>
      <c r="U7" s="45"/>
      <c r="V7" s="44" t="s">
        <v>130</v>
      </c>
    </row>
    <row r="8" customFormat="false" ht="15" hidden="false" customHeight="false" outlineLevel="0" collapsed="false">
      <c r="B8" s="41" t="s">
        <v>42</v>
      </c>
      <c r="C8" s="42" t="s">
        <v>45</v>
      </c>
      <c r="D8" s="43" t="s">
        <v>46</v>
      </c>
      <c r="E8" s="44" t="s">
        <v>130</v>
      </c>
      <c r="F8" s="44" t="s">
        <v>130</v>
      </c>
      <c r="G8" s="44" t="s">
        <v>130</v>
      </c>
      <c r="H8" s="45"/>
      <c r="I8" s="44" t="s">
        <v>130</v>
      </c>
      <c r="J8" s="44" t="s">
        <v>130</v>
      </c>
      <c r="K8" s="44" t="s">
        <v>130</v>
      </c>
      <c r="L8" s="44" t="s">
        <v>130</v>
      </c>
      <c r="M8" s="44" t="s">
        <v>130</v>
      </c>
      <c r="N8" s="45"/>
      <c r="O8" s="45"/>
      <c r="P8" s="44" t="s">
        <v>130</v>
      </c>
      <c r="Q8" s="45"/>
      <c r="R8" s="44" t="s">
        <v>130</v>
      </c>
      <c r="S8" s="45"/>
      <c r="T8" s="44" t="s">
        <v>130</v>
      </c>
      <c r="U8" s="44" t="s">
        <v>130</v>
      </c>
      <c r="V8" s="44" t="s">
        <v>130</v>
      </c>
    </row>
    <row r="9" customFormat="false" ht="15" hidden="false" customHeight="false" outlineLevel="0" collapsed="false">
      <c r="B9" s="41" t="s">
        <v>119</v>
      </c>
      <c r="C9" s="42" t="s">
        <v>120</v>
      </c>
      <c r="D9" s="43" t="s">
        <v>121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4" t="s">
        <v>130</v>
      </c>
      <c r="Q9" s="44" t="s">
        <v>130</v>
      </c>
      <c r="R9" s="45"/>
      <c r="S9" s="45"/>
      <c r="T9" s="45"/>
      <c r="U9" s="45"/>
      <c r="V9" s="45"/>
    </row>
    <row r="10" customFormat="false" ht="15" hidden="false" customHeight="false" outlineLevel="0" collapsed="false">
      <c r="B10" s="41" t="s">
        <v>79</v>
      </c>
      <c r="C10" s="42" t="s">
        <v>94</v>
      </c>
      <c r="D10" s="43" t="s">
        <v>95</v>
      </c>
      <c r="E10" s="45"/>
      <c r="F10" s="45"/>
      <c r="G10" s="44" t="s">
        <v>130</v>
      </c>
      <c r="H10" s="45"/>
      <c r="I10" s="45"/>
      <c r="J10" s="45"/>
      <c r="K10" s="44" t="s">
        <v>130</v>
      </c>
      <c r="L10" s="44" t="s">
        <v>130</v>
      </c>
      <c r="M10" s="45"/>
      <c r="N10" s="45"/>
      <c r="O10" s="45"/>
      <c r="P10" s="45"/>
      <c r="Q10" s="44" t="s">
        <v>130</v>
      </c>
      <c r="R10" s="45"/>
      <c r="S10" s="45"/>
      <c r="T10" s="45"/>
      <c r="U10" s="45"/>
      <c r="V10" s="45"/>
    </row>
    <row r="11" customFormat="false" ht="15" hidden="false" customHeight="false" outlineLevel="0" collapsed="false">
      <c r="B11" s="41" t="s">
        <v>79</v>
      </c>
      <c r="C11" s="42" t="s">
        <v>80</v>
      </c>
      <c r="D11" s="43" t="s">
        <v>57</v>
      </c>
      <c r="E11" s="45"/>
      <c r="F11" s="44" t="s">
        <v>130</v>
      </c>
      <c r="G11" s="44" t="s">
        <v>130</v>
      </c>
      <c r="H11" s="44" t="s">
        <v>130</v>
      </c>
      <c r="I11" s="44" t="s">
        <v>130</v>
      </c>
      <c r="J11" s="45"/>
      <c r="K11" s="45"/>
      <c r="L11" s="44" t="s">
        <v>130</v>
      </c>
      <c r="M11" s="45"/>
      <c r="N11" s="44" t="s">
        <v>130</v>
      </c>
      <c r="O11" s="45"/>
      <c r="P11" s="44" t="s">
        <v>130</v>
      </c>
      <c r="Q11" s="45"/>
      <c r="R11" s="44" t="s">
        <v>130</v>
      </c>
      <c r="S11" s="44" t="s">
        <v>130</v>
      </c>
      <c r="T11" s="44" t="s">
        <v>130</v>
      </c>
      <c r="U11" s="44" t="s">
        <v>130</v>
      </c>
      <c r="V11" s="45"/>
    </row>
    <row r="12" customFormat="false" ht="15" hidden="false" customHeight="false" outlineLevel="0" collapsed="false">
      <c r="B12" s="41" t="s">
        <v>81</v>
      </c>
      <c r="C12" s="42" t="s">
        <v>110</v>
      </c>
      <c r="D12" s="43" t="s">
        <v>103</v>
      </c>
      <c r="E12" s="45"/>
      <c r="F12" s="45"/>
      <c r="G12" s="45"/>
      <c r="H12" s="45"/>
      <c r="I12" s="44" t="s">
        <v>130</v>
      </c>
      <c r="J12" s="44" t="s">
        <v>130</v>
      </c>
      <c r="K12" s="45"/>
      <c r="L12" s="44" t="s">
        <v>130</v>
      </c>
      <c r="M12" s="44" t="s">
        <v>130</v>
      </c>
      <c r="N12" s="44" t="s">
        <v>130</v>
      </c>
      <c r="O12" s="44" t="s">
        <v>130</v>
      </c>
      <c r="P12" s="45"/>
      <c r="Q12" s="45"/>
      <c r="R12" s="44" t="s">
        <v>130</v>
      </c>
      <c r="S12" s="44" t="s">
        <v>130</v>
      </c>
      <c r="T12" s="45"/>
      <c r="U12" s="44" t="s">
        <v>130</v>
      </c>
      <c r="V12" s="44" t="s">
        <v>130</v>
      </c>
    </row>
    <row r="13" customFormat="false" ht="15" hidden="false" customHeight="false" outlineLevel="0" collapsed="false">
      <c r="B13" s="41" t="s">
        <v>81</v>
      </c>
      <c r="C13" s="42" t="s">
        <v>82</v>
      </c>
      <c r="D13" s="43" t="s">
        <v>83</v>
      </c>
      <c r="E13" s="45"/>
      <c r="F13" s="44" t="s">
        <v>130</v>
      </c>
      <c r="G13" s="45"/>
      <c r="H13" s="44" t="s">
        <v>130</v>
      </c>
      <c r="I13" s="45"/>
      <c r="J13" s="44" t="s">
        <v>130</v>
      </c>
      <c r="K13" s="44" t="s">
        <v>130</v>
      </c>
      <c r="L13" s="44" t="s">
        <v>130</v>
      </c>
      <c r="M13" s="45"/>
      <c r="N13" s="44" t="s">
        <v>130</v>
      </c>
      <c r="O13" s="45"/>
      <c r="P13" s="44" t="s">
        <v>130</v>
      </c>
      <c r="Q13" s="45"/>
      <c r="R13" s="45"/>
      <c r="S13" s="45"/>
      <c r="T13" s="45"/>
      <c r="U13" s="45"/>
      <c r="V13" s="44" t="s">
        <v>130</v>
      </c>
    </row>
    <row r="14" customFormat="false" ht="15" hidden="false" customHeight="false" outlineLevel="0" collapsed="false">
      <c r="B14" s="41" t="s">
        <v>81</v>
      </c>
      <c r="C14" s="42" t="s">
        <v>84</v>
      </c>
      <c r="D14" s="43" t="s">
        <v>85</v>
      </c>
      <c r="E14" s="45"/>
      <c r="F14" s="44" t="s">
        <v>130</v>
      </c>
      <c r="G14" s="44" t="s">
        <v>130</v>
      </c>
      <c r="H14" s="44" t="s">
        <v>130</v>
      </c>
      <c r="I14" s="45"/>
      <c r="J14" s="44" t="s">
        <v>130</v>
      </c>
      <c r="K14" s="45"/>
      <c r="L14" s="45"/>
      <c r="M14" s="44" t="s">
        <v>130</v>
      </c>
      <c r="N14" s="44" t="s">
        <v>130</v>
      </c>
      <c r="O14" s="45"/>
      <c r="P14" s="44" t="s">
        <v>130</v>
      </c>
      <c r="Q14" s="44" t="s">
        <v>130</v>
      </c>
      <c r="R14" s="44" t="s">
        <v>130</v>
      </c>
      <c r="S14" s="44" t="s">
        <v>130</v>
      </c>
      <c r="T14" s="45"/>
      <c r="U14" s="45"/>
      <c r="V14" s="45"/>
    </row>
    <row r="15" customFormat="false" ht="15" hidden="false" customHeight="false" outlineLevel="0" collapsed="false">
      <c r="B15" s="41" t="s">
        <v>47</v>
      </c>
      <c r="C15" s="42" t="s">
        <v>48</v>
      </c>
      <c r="D15" s="43" t="s">
        <v>49</v>
      </c>
      <c r="E15" s="44" t="s">
        <v>130</v>
      </c>
      <c r="F15" s="44" t="s">
        <v>130</v>
      </c>
      <c r="G15" s="45"/>
      <c r="H15" s="45"/>
      <c r="I15" s="45"/>
      <c r="J15" s="44" t="s">
        <v>130</v>
      </c>
      <c r="K15" s="45"/>
      <c r="L15" s="45"/>
      <c r="M15" s="44" t="s">
        <v>130</v>
      </c>
      <c r="N15" s="45"/>
      <c r="O15" s="45"/>
      <c r="P15" s="45"/>
      <c r="Q15" s="44" t="s">
        <v>130</v>
      </c>
      <c r="R15" s="45"/>
      <c r="S15" s="45"/>
      <c r="T15" s="44" t="s">
        <v>130</v>
      </c>
      <c r="U15" s="44" t="s">
        <v>130</v>
      </c>
      <c r="V15" s="44" t="s">
        <v>130</v>
      </c>
    </row>
    <row r="16" customFormat="false" ht="15" hidden="false" customHeight="false" outlineLevel="0" collapsed="false">
      <c r="B16" s="41" t="s">
        <v>47</v>
      </c>
      <c r="C16" s="42" t="s">
        <v>96</v>
      </c>
      <c r="D16" s="43" t="s">
        <v>97</v>
      </c>
      <c r="E16" s="45"/>
      <c r="F16" s="45"/>
      <c r="G16" s="44" t="s">
        <v>130</v>
      </c>
      <c r="H16" s="44" t="s">
        <v>130</v>
      </c>
      <c r="I16" s="45"/>
      <c r="J16" s="44" t="s">
        <v>130</v>
      </c>
      <c r="K16" s="44" t="s">
        <v>130</v>
      </c>
      <c r="L16" s="44" t="s">
        <v>130</v>
      </c>
      <c r="M16" s="45"/>
      <c r="N16" s="44" t="s">
        <v>130</v>
      </c>
      <c r="O16" s="44" t="s">
        <v>130</v>
      </c>
      <c r="P16" s="44" t="s">
        <v>130</v>
      </c>
      <c r="Q16" s="45"/>
      <c r="R16" s="45"/>
      <c r="S16" s="44" t="s">
        <v>130</v>
      </c>
      <c r="T16" s="44" t="s">
        <v>130</v>
      </c>
      <c r="U16" s="45"/>
      <c r="V16" s="44" t="s">
        <v>130</v>
      </c>
    </row>
    <row r="17" customFormat="false" ht="15" hidden="false" customHeight="false" outlineLevel="0" collapsed="false">
      <c r="B17" s="41" t="s">
        <v>47</v>
      </c>
      <c r="C17" s="42" t="s">
        <v>86</v>
      </c>
      <c r="D17" s="43" t="s">
        <v>87</v>
      </c>
      <c r="E17" s="45"/>
      <c r="F17" s="44" t="s">
        <v>130</v>
      </c>
      <c r="G17" s="45"/>
      <c r="H17" s="45"/>
      <c r="I17" s="45"/>
      <c r="J17" s="45"/>
      <c r="K17" s="44" t="s">
        <v>130</v>
      </c>
      <c r="L17" s="45"/>
      <c r="M17" s="44" t="s">
        <v>130</v>
      </c>
      <c r="N17" s="45"/>
      <c r="O17" s="44" t="s">
        <v>130</v>
      </c>
      <c r="P17" s="44" t="s">
        <v>130</v>
      </c>
      <c r="Q17" s="44" t="s">
        <v>130</v>
      </c>
      <c r="R17" s="45"/>
      <c r="S17" s="44" t="s">
        <v>130</v>
      </c>
      <c r="T17" s="45"/>
      <c r="U17" s="44" t="s">
        <v>130</v>
      </c>
      <c r="V17" s="44" t="s">
        <v>130</v>
      </c>
    </row>
    <row r="18" customFormat="false" ht="15" hidden="false" customHeight="false" outlineLevel="0" collapsed="false">
      <c r="B18" s="41" t="s">
        <v>98</v>
      </c>
      <c r="C18" s="42" t="s">
        <v>99</v>
      </c>
      <c r="D18" s="43" t="s">
        <v>100</v>
      </c>
      <c r="E18" s="45"/>
      <c r="F18" s="45"/>
      <c r="G18" s="44" t="s">
        <v>130</v>
      </c>
      <c r="H18" s="45"/>
      <c r="I18" s="44" t="s">
        <v>130</v>
      </c>
      <c r="J18" s="45"/>
      <c r="K18" s="44" t="s">
        <v>130</v>
      </c>
      <c r="L18" s="44" t="s">
        <v>130</v>
      </c>
      <c r="M18" s="45"/>
      <c r="N18" s="45"/>
      <c r="O18" s="45"/>
      <c r="P18" s="44" t="s">
        <v>130</v>
      </c>
      <c r="Q18" s="44" t="s">
        <v>130</v>
      </c>
      <c r="R18" s="45"/>
      <c r="S18" s="45"/>
      <c r="T18" s="45"/>
      <c r="U18" s="44" t="s">
        <v>130</v>
      </c>
      <c r="V18" s="45"/>
    </row>
    <row r="19" customFormat="false" ht="15" hidden="false" customHeight="false" outlineLevel="0" collapsed="false">
      <c r="B19" s="41" t="s">
        <v>50</v>
      </c>
      <c r="C19" s="42" t="s">
        <v>51</v>
      </c>
      <c r="D19" s="43" t="s">
        <v>52</v>
      </c>
      <c r="E19" s="44" t="s">
        <v>130</v>
      </c>
      <c r="F19" s="44" t="s">
        <v>130</v>
      </c>
      <c r="G19" s="44" t="s">
        <v>130</v>
      </c>
      <c r="H19" s="44" t="s">
        <v>130</v>
      </c>
      <c r="I19" s="45"/>
      <c r="J19" s="44" t="s">
        <v>130</v>
      </c>
      <c r="K19" s="44" t="s">
        <v>130</v>
      </c>
      <c r="L19" s="44" t="s">
        <v>130</v>
      </c>
      <c r="M19" s="45"/>
      <c r="N19" s="45"/>
      <c r="O19" s="44" t="s">
        <v>130</v>
      </c>
      <c r="P19" s="44" t="s">
        <v>130</v>
      </c>
      <c r="Q19" s="44" t="s">
        <v>130</v>
      </c>
      <c r="R19" s="44" t="s">
        <v>130</v>
      </c>
      <c r="S19" s="44" t="s">
        <v>130</v>
      </c>
      <c r="T19" s="45"/>
      <c r="U19" s="44" t="s">
        <v>130</v>
      </c>
      <c r="V19" s="45"/>
    </row>
    <row r="20" customFormat="false" ht="15" hidden="false" customHeight="false" outlineLevel="0" collapsed="false">
      <c r="B20" s="41" t="s">
        <v>88</v>
      </c>
      <c r="C20" s="42" t="s">
        <v>89</v>
      </c>
      <c r="D20" s="43" t="s">
        <v>90</v>
      </c>
      <c r="E20" s="45"/>
      <c r="F20" s="44" t="s">
        <v>130</v>
      </c>
      <c r="G20" s="45"/>
      <c r="H20" s="44" t="s">
        <v>130</v>
      </c>
      <c r="I20" s="44" t="s">
        <v>130</v>
      </c>
      <c r="J20" s="45"/>
      <c r="K20" s="44" t="s">
        <v>130</v>
      </c>
      <c r="L20" s="44" t="s">
        <v>130</v>
      </c>
      <c r="M20" s="44" t="s">
        <v>130</v>
      </c>
      <c r="N20" s="44" t="s">
        <v>130</v>
      </c>
      <c r="O20" s="44" t="s">
        <v>130</v>
      </c>
      <c r="P20" s="45"/>
      <c r="Q20" s="45"/>
      <c r="R20" s="45"/>
      <c r="S20" s="45"/>
      <c r="T20" s="44" t="s">
        <v>130</v>
      </c>
      <c r="U20" s="45"/>
      <c r="V20" s="45"/>
    </row>
    <row r="21" customFormat="false" ht="15" hidden="false" customHeight="false" outlineLevel="0" collapsed="false">
      <c r="B21" s="41" t="s">
        <v>53</v>
      </c>
      <c r="C21" s="42" t="s">
        <v>113</v>
      </c>
      <c r="D21" s="43" t="s">
        <v>95</v>
      </c>
      <c r="E21" s="45"/>
      <c r="F21" s="45"/>
      <c r="G21" s="45"/>
      <c r="H21" s="45"/>
      <c r="I21" s="45"/>
      <c r="J21" s="45"/>
      <c r="K21" s="44" t="s">
        <v>130</v>
      </c>
      <c r="L21" s="45"/>
      <c r="M21" s="45"/>
      <c r="N21" s="45"/>
      <c r="O21" s="45"/>
      <c r="P21" s="45"/>
      <c r="Q21" s="45"/>
      <c r="R21" s="45"/>
      <c r="S21" s="44" t="s">
        <v>130</v>
      </c>
      <c r="T21" s="44" t="s">
        <v>130</v>
      </c>
      <c r="U21" s="45"/>
      <c r="V21" s="45"/>
    </row>
    <row r="22" customFormat="false" ht="15" hidden="false" customHeight="false" outlineLevel="0" collapsed="false">
      <c r="B22" s="41" t="s">
        <v>53</v>
      </c>
      <c r="C22" s="42" t="s">
        <v>54</v>
      </c>
      <c r="D22" s="43" t="s">
        <v>55</v>
      </c>
      <c r="E22" s="44" t="s">
        <v>130</v>
      </c>
      <c r="F22" s="44" t="s">
        <v>130</v>
      </c>
      <c r="G22" s="44" t="s">
        <v>130</v>
      </c>
      <c r="H22" s="44" t="s">
        <v>130</v>
      </c>
      <c r="I22" s="45"/>
      <c r="J22" s="44" t="s">
        <v>130</v>
      </c>
      <c r="K22" s="45"/>
      <c r="L22" s="45"/>
      <c r="M22" s="44" t="s">
        <v>130</v>
      </c>
      <c r="N22" s="44" t="s">
        <v>130</v>
      </c>
      <c r="O22" s="45"/>
      <c r="P22" s="45"/>
      <c r="Q22" s="44" t="s">
        <v>130</v>
      </c>
      <c r="R22" s="44" t="s">
        <v>130</v>
      </c>
      <c r="S22" s="45"/>
      <c r="T22" s="44" t="s">
        <v>130</v>
      </c>
      <c r="U22" s="44" t="s">
        <v>130</v>
      </c>
      <c r="V22" s="44" t="s">
        <v>130</v>
      </c>
    </row>
    <row r="23" customFormat="false" ht="15" hidden="false" customHeight="false" outlineLevel="0" collapsed="false">
      <c r="B23" s="41" t="s">
        <v>53</v>
      </c>
      <c r="C23" s="42" t="s">
        <v>56</v>
      </c>
      <c r="D23" s="43" t="s">
        <v>57</v>
      </c>
      <c r="E23" s="44" t="s">
        <v>130</v>
      </c>
      <c r="F23" s="45"/>
      <c r="G23" s="45"/>
      <c r="H23" s="44" t="s">
        <v>130</v>
      </c>
      <c r="I23" s="45"/>
      <c r="J23" s="45"/>
      <c r="K23" s="44" t="s">
        <v>130</v>
      </c>
      <c r="L23" s="45"/>
      <c r="M23" s="44" t="s">
        <v>130</v>
      </c>
      <c r="N23" s="44" t="s">
        <v>130</v>
      </c>
      <c r="O23" s="45"/>
      <c r="P23" s="44" t="s">
        <v>130</v>
      </c>
      <c r="Q23" s="44" t="s">
        <v>130</v>
      </c>
      <c r="R23" s="44" t="s">
        <v>130</v>
      </c>
      <c r="S23" s="44" t="s">
        <v>130</v>
      </c>
      <c r="T23" s="44" t="s">
        <v>130</v>
      </c>
      <c r="U23" s="44" t="s">
        <v>130</v>
      </c>
      <c r="V23" s="45"/>
    </row>
    <row r="24" customFormat="false" ht="15" hidden="false" customHeight="false" outlineLevel="0" collapsed="false">
      <c r="B24" s="41" t="s">
        <v>53</v>
      </c>
      <c r="C24" s="42" t="s">
        <v>107</v>
      </c>
      <c r="D24" s="43" t="s">
        <v>108</v>
      </c>
      <c r="E24" s="45"/>
      <c r="F24" s="45"/>
      <c r="G24" s="45"/>
      <c r="H24" s="44" t="s">
        <v>130</v>
      </c>
      <c r="I24" s="44" t="s">
        <v>130</v>
      </c>
      <c r="J24" s="45"/>
      <c r="K24" s="45"/>
      <c r="L24" s="44" t="s">
        <v>130</v>
      </c>
      <c r="M24" s="45"/>
      <c r="N24" s="45"/>
      <c r="O24" s="45"/>
      <c r="P24" s="45"/>
      <c r="Q24" s="45"/>
      <c r="R24" s="45"/>
      <c r="S24" s="44" t="s">
        <v>130</v>
      </c>
      <c r="T24" s="45"/>
      <c r="U24" s="45"/>
      <c r="V24" s="44" t="s">
        <v>130</v>
      </c>
    </row>
    <row r="25" customFormat="false" ht="15" hidden="false" customHeight="false" outlineLevel="0" collapsed="false">
      <c r="B25" s="41" t="s">
        <v>101</v>
      </c>
      <c r="C25" s="42" t="s">
        <v>102</v>
      </c>
      <c r="D25" s="43" t="s">
        <v>103</v>
      </c>
      <c r="E25" s="45"/>
      <c r="F25" s="45"/>
      <c r="G25" s="44" t="s">
        <v>130</v>
      </c>
      <c r="H25" s="45"/>
      <c r="I25" s="45"/>
      <c r="J25" s="45"/>
      <c r="K25" s="45"/>
      <c r="L25" s="45"/>
      <c r="M25" s="44" t="s">
        <v>130</v>
      </c>
      <c r="N25" s="44" t="s">
        <v>130</v>
      </c>
      <c r="O25" s="45"/>
      <c r="P25" s="45"/>
      <c r="Q25" s="45"/>
      <c r="R25" s="44" t="s">
        <v>130</v>
      </c>
      <c r="S25" s="44" t="s">
        <v>130</v>
      </c>
      <c r="T25" s="45"/>
      <c r="U25" s="45"/>
      <c r="V25" s="45"/>
    </row>
    <row r="26" customFormat="false" ht="15" hidden="false" customHeight="false" outlineLevel="0" collapsed="false">
      <c r="B26" s="41" t="s">
        <v>58</v>
      </c>
      <c r="C26" s="42" t="s">
        <v>59</v>
      </c>
      <c r="D26" s="43" t="s">
        <v>49</v>
      </c>
      <c r="E26" s="44" t="s">
        <v>130</v>
      </c>
      <c r="F26" s="45"/>
      <c r="G26" s="45"/>
      <c r="H26" s="44" t="s">
        <v>130</v>
      </c>
      <c r="I26" s="44" t="s">
        <v>130</v>
      </c>
      <c r="J26" s="45"/>
      <c r="K26" s="44" t="s">
        <v>130</v>
      </c>
      <c r="L26" s="44" t="s">
        <v>130</v>
      </c>
      <c r="M26" s="45"/>
      <c r="N26" s="44" t="s">
        <v>130</v>
      </c>
      <c r="O26" s="45"/>
      <c r="P26" s="44" t="s">
        <v>130</v>
      </c>
      <c r="Q26" s="44" t="s">
        <v>130</v>
      </c>
      <c r="R26" s="45"/>
      <c r="S26" s="45"/>
      <c r="T26" s="44" t="s">
        <v>130</v>
      </c>
      <c r="U26" s="44" t="s">
        <v>130</v>
      </c>
      <c r="V26" s="44" t="s">
        <v>130</v>
      </c>
    </row>
    <row r="27" customFormat="false" ht="15" hidden="false" customHeight="false" outlineLevel="0" collapsed="false">
      <c r="B27" s="41" t="s">
        <v>58</v>
      </c>
      <c r="C27" s="42" t="s">
        <v>105</v>
      </c>
      <c r="D27" s="43" t="s">
        <v>75</v>
      </c>
      <c r="E27" s="45"/>
      <c r="F27" s="45"/>
      <c r="G27" s="44" t="s">
        <v>130</v>
      </c>
      <c r="H27" s="45"/>
      <c r="I27" s="44" t="s">
        <v>130</v>
      </c>
      <c r="J27" s="44" t="s">
        <v>130</v>
      </c>
      <c r="K27" s="45"/>
      <c r="L27" s="44" t="s">
        <v>130</v>
      </c>
      <c r="M27" s="44" t="s">
        <v>130</v>
      </c>
      <c r="N27" s="45"/>
      <c r="O27" s="44" t="s">
        <v>130</v>
      </c>
      <c r="P27" s="45"/>
      <c r="Q27" s="44" t="s">
        <v>130</v>
      </c>
      <c r="R27" s="45"/>
      <c r="S27" s="45"/>
      <c r="T27" s="44" t="s">
        <v>130</v>
      </c>
      <c r="U27" s="44" t="s">
        <v>130</v>
      </c>
      <c r="V27" s="45"/>
    </row>
    <row r="28" customFormat="false" ht="15" hidden="false" customHeight="false" outlineLevel="0" collapsed="false">
      <c r="B28" s="41" t="s">
        <v>58</v>
      </c>
      <c r="C28" s="42" t="s">
        <v>91</v>
      </c>
      <c r="D28" s="43" t="s">
        <v>92</v>
      </c>
      <c r="E28" s="45"/>
      <c r="F28" s="44" t="s">
        <v>130</v>
      </c>
      <c r="G28" s="45"/>
      <c r="H28" s="45"/>
      <c r="I28" s="44" t="s">
        <v>130</v>
      </c>
      <c r="J28" s="44" t="s">
        <v>130</v>
      </c>
      <c r="K28" s="45"/>
      <c r="L28" s="45"/>
      <c r="M28" s="45"/>
      <c r="N28" s="44" t="s">
        <v>130</v>
      </c>
      <c r="O28" s="44" t="s">
        <v>130</v>
      </c>
      <c r="P28" s="44" t="s">
        <v>130</v>
      </c>
      <c r="Q28" s="44" t="s">
        <v>130</v>
      </c>
      <c r="R28" s="44" t="s">
        <v>130</v>
      </c>
      <c r="S28" s="44" t="s">
        <v>130</v>
      </c>
      <c r="T28" s="44" t="s">
        <v>130</v>
      </c>
      <c r="U28" s="45"/>
      <c r="V28" s="44" t="s">
        <v>130</v>
      </c>
    </row>
    <row r="29" customFormat="false" ht="15" hidden="false" customHeight="false" outlineLevel="0" collapsed="false">
      <c r="B29" s="41" t="s">
        <v>58</v>
      </c>
      <c r="C29" s="42" t="s">
        <v>104</v>
      </c>
      <c r="D29" s="43" t="s">
        <v>87</v>
      </c>
      <c r="E29" s="45"/>
      <c r="F29" s="45"/>
      <c r="G29" s="44" t="s">
        <v>130</v>
      </c>
      <c r="H29" s="44" t="s">
        <v>130</v>
      </c>
      <c r="I29" s="44" t="s">
        <v>130</v>
      </c>
      <c r="J29" s="44" t="s">
        <v>130</v>
      </c>
      <c r="K29" s="45"/>
      <c r="L29" s="45"/>
      <c r="M29" s="44" t="s">
        <v>130</v>
      </c>
      <c r="N29" s="44" t="s">
        <v>130</v>
      </c>
      <c r="O29" s="44" t="s">
        <v>130</v>
      </c>
      <c r="P29" s="44" t="s">
        <v>130</v>
      </c>
      <c r="Q29" s="45"/>
      <c r="R29" s="44" t="s">
        <v>130</v>
      </c>
      <c r="S29" s="45"/>
      <c r="T29" s="45"/>
      <c r="U29" s="44" t="s">
        <v>130</v>
      </c>
      <c r="V29" s="44" t="s">
        <v>130</v>
      </c>
    </row>
    <row r="30" customFormat="false" ht="15" hidden="false" customHeight="false" outlineLevel="0" collapsed="false">
      <c r="B30" s="41" t="s">
        <v>60</v>
      </c>
      <c r="C30" s="42" t="s">
        <v>64</v>
      </c>
      <c r="D30" s="43" t="s">
        <v>65</v>
      </c>
      <c r="E30" s="44" t="s">
        <v>130</v>
      </c>
      <c r="F30" s="44" t="s">
        <v>130</v>
      </c>
      <c r="G30" s="44" t="s">
        <v>130</v>
      </c>
      <c r="H30" s="44" t="s">
        <v>130</v>
      </c>
      <c r="I30" s="44" t="s">
        <v>130</v>
      </c>
      <c r="J30" s="44" t="s">
        <v>130</v>
      </c>
      <c r="K30" s="45"/>
      <c r="L30" s="44" t="s">
        <v>130</v>
      </c>
      <c r="M30" s="44" t="s">
        <v>130</v>
      </c>
      <c r="N30" s="44" t="s">
        <v>130</v>
      </c>
      <c r="O30" s="44" t="s">
        <v>130</v>
      </c>
      <c r="P30" s="45"/>
      <c r="Q30" s="45"/>
      <c r="R30" s="45"/>
      <c r="S30" s="44" t="s">
        <v>130</v>
      </c>
      <c r="T30" s="44" t="s">
        <v>130</v>
      </c>
      <c r="U30" s="45"/>
      <c r="V30" s="45"/>
    </row>
    <row r="31" customFormat="false" ht="15" hidden="false" customHeight="false" outlineLevel="0" collapsed="false">
      <c r="B31" s="41" t="s">
        <v>60</v>
      </c>
      <c r="C31" s="42" t="s">
        <v>61</v>
      </c>
      <c r="D31" s="43" t="s">
        <v>52</v>
      </c>
      <c r="E31" s="44" t="s">
        <v>130</v>
      </c>
      <c r="F31" s="44" t="s">
        <v>130</v>
      </c>
      <c r="G31" s="44" t="s">
        <v>130</v>
      </c>
      <c r="H31" s="45"/>
      <c r="I31" s="44" t="s">
        <v>130</v>
      </c>
      <c r="J31" s="45"/>
      <c r="K31" s="45"/>
      <c r="L31" s="45"/>
      <c r="M31" s="45"/>
      <c r="N31" s="44" t="s">
        <v>130</v>
      </c>
      <c r="O31" s="44" t="s">
        <v>130</v>
      </c>
      <c r="P31" s="44" t="s">
        <v>130</v>
      </c>
      <c r="Q31" s="45"/>
      <c r="R31" s="45"/>
      <c r="S31" s="44" t="s">
        <v>130</v>
      </c>
      <c r="T31" s="44" t="s">
        <v>130</v>
      </c>
      <c r="U31" s="45"/>
      <c r="V31" s="45"/>
    </row>
    <row r="32" customFormat="false" ht="15" hidden="false" customHeight="false" outlineLevel="0" collapsed="false">
      <c r="B32" s="41" t="s">
        <v>60</v>
      </c>
      <c r="C32" s="42" t="s">
        <v>62</v>
      </c>
      <c r="D32" s="43" t="s">
        <v>63</v>
      </c>
      <c r="E32" s="44" t="s">
        <v>130</v>
      </c>
      <c r="F32" s="44" t="s">
        <v>130</v>
      </c>
      <c r="G32" s="45"/>
      <c r="H32" s="44" t="s">
        <v>130</v>
      </c>
      <c r="I32" s="45"/>
      <c r="J32" s="44" t="s">
        <v>130</v>
      </c>
      <c r="K32" s="44" t="s">
        <v>130</v>
      </c>
      <c r="L32" s="45"/>
      <c r="M32" s="44" t="s">
        <v>130</v>
      </c>
      <c r="N32" s="44" t="s">
        <v>130</v>
      </c>
      <c r="O32" s="45"/>
      <c r="P32" s="45"/>
      <c r="Q32" s="45"/>
      <c r="R32" s="45"/>
      <c r="S32" s="45"/>
      <c r="T32" s="44" t="s">
        <v>130</v>
      </c>
      <c r="U32" s="44" t="s">
        <v>130</v>
      </c>
      <c r="V32" s="44" t="s">
        <v>130</v>
      </c>
    </row>
    <row r="33" customFormat="false" ht="15" hidden="false" customHeight="false" outlineLevel="0" collapsed="false">
      <c r="B33" s="41" t="s">
        <v>66</v>
      </c>
      <c r="C33" s="42" t="s">
        <v>67</v>
      </c>
      <c r="D33" s="43" t="s">
        <v>68</v>
      </c>
      <c r="E33" s="44" t="s">
        <v>130</v>
      </c>
      <c r="F33" s="45"/>
      <c r="G33" s="45"/>
      <c r="H33" s="45"/>
      <c r="I33" s="44" t="s">
        <v>130</v>
      </c>
      <c r="J33" s="44" t="s">
        <v>130</v>
      </c>
      <c r="K33" s="44" t="s">
        <v>130</v>
      </c>
      <c r="L33" s="44" t="s">
        <v>130</v>
      </c>
      <c r="M33" s="45"/>
      <c r="N33" s="45"/>
      <c r="O33" s="44" t="s">
        <v>130</v>
      </c>
      <c r="P33" s="45"/>
      <c r="Q33" s="44" t="s">
        <v>130</v>
      </c>
      <c r="R33" s="44" t="s">
        <v>130</v>
      </c>
      <c r="S33" s="44" t="s">
        <v>130</v>
      </c>
      <c r="T33" s="45"/>
      <c r="U33" s="45"/>
      <c r="V33" s="45"/>
    </row>
    <row r="34" customFormat="false" ht="15" hidden="false" customHeight="false" outlineLevel="0" collapsed="false">
      <c r="B34" s="41" t="s">
        <v>69</v>
      </c>
      <c r="C34" s="42" t="s">
        <v>71</v>
      </c>
      <c r="D34" s="43" t="s">
        <v>72</v>
      </c>
      <c r="E34" s="44" t="s">
        <v>130</v>
      </c>
      <c r="F34" s="44" t="s">
        <v>130</v>
      </c>
      <c r="G34" s="44" t="s">
        <v>130</v>
      </c>
      <c r="H34" s="44" t="s">
        <v>130</v>
      </c>
      <c r="I34" s="45"/>
      <c r="J34" s="45"/>
      <c r="K34" s="44" t="s">
        <v>130</v>
      </c>
      <c r="L34" s="44" t="s">
        <v>130</v>
      </c>
      <c r="M34" s="44" t="s">
        <v>130</v>
      </c>
      <c r="N34" s="45"/>
      <c r="O34" s="44" t="s">
        <v>130</v>
      </c>
      <c r="P34" s="45"/>
      <c r="Q34" s="44" t="s">
        <v>130</v>
      </c>
      <c r="R34" s="44" t="s">
        <v>130</v>
      </c>
      <c r="S34" s="45"/>
      <c r="T34" s="45"/>
      <c r="U34" s="45"/>
      <c r="V34" s="44" t="s">
        <v>130</v>
      </c>
    </row>
    <row r="35" customFormat="false" ht="15" hidden="false" customHeight="false" outlineLevel="0" collapsed="false">
      <c r="B35" s="41" t="s">
        <v>69</v>
      </c>
      <c r="C35" s="42" t="s">
        <v>70</v>
      </c>
      <c r="D35" s="43" t="s">
        <v>55</v>
      </c>
      <c r="E35" s="44" t="s">
        <v>130</v>
      </c>
      <c r="F35" s="45"/>
      <c r="G35" s="44" t="s">
        <v>130</v>
      </c>
      <c r="H35" s="45"/>
      <c r="I35" s="44" t="s">
        <v>130</v>
      </c>
      <c r="J35" s="45"/>
      <c r="K35" s="44" t="s">
        <v>130</v>
      </c>
      <c r="L35" s="45"/>
      <c r="M35" s="45"/>
      <c r="N35" s="44" t="s">
        <v>130</v>
      </c>
      <c r="O35" s="44" t="s">
        <v>130</v>
      </c>
      <c r="P35" s="45"/>
      <c r="Q35" s="45"/>
      <c r="R35" s="45"/>
      <c r="S35" s="44" t="s">
        <v>130</v>
      </c>
      <c r="T35" s="45"/>
      <c r="U35" s="44" t="s">
        <v>130</v>
      </c>
      <c r="V35" s="44" t="s">
        <v>130</v>
      </c>
    </row>
    <row r="36" customFormat="false" ht="15" hidden="false" customHeight="false" outlineLevel="0" collapsed="false">
      <c r="B36" s="41" t="s">
        <v>73</v>
      </c>
      <c r="C36" s="42" t="s">
        <v>74</v>
      </c>
      <c r="D36" s="43" t="s">
        <v>75</v>
      </c>
      <c r="E36" s="44" t="s">
        <v>130</v>
      </c>
      <c r="F36" s="45"/>
      <c r="G36" s="45"/>
      <c r="H36" s="44" t="s">
        <v>130</v>
      </c>
      <c r="I36" s="44" t="s">
        <v>130</v>
      </c>
      <c r="J36" s="45"/>
      <c r="K36" s="45"/>
      <c r="L36" s="44" t="s">
        <v>130</v>
      </c>
      <c r="M36" s="45"/>
      <c r="N36" s="45"/>
      <c r="O36" s="45"/>
      <c r="P36" s="45"/>
      <c r="Q36" s="45"/>
      <c r="R36" s="45"/>
      <c r="S36" s="44" t="s">
        <v>130</v>
      </c>
      <c r="T36" s="44" t="s">
        <v>130</v>
      </c>
      <c r="U36" s="45"/>
      <c r="V36" s="44" t="s">
        <v>130</v>
      </c>
    </row>
    <row r="37" customFormat="false" ht="15" hidden="false" customHeight="false" outlineLevel="0" collapsed="false">
      <c r="B37" s="41" t="s">
        <v>73</v>
      </c>
      <c r="C37" s="42" t="s">
        <v>76</v>
      </c>
      <c r="D37" s="43" t="s">
        <v>77</v>
      </c>
      <c r="E37" s="44" t="s">
        <v>130</v>
      </c>
      <c r="F37" s="45"/>
      <c r="G37" s="45"/>
      <c r="H37" s="45"/>
      <c r="I37" s="44" t="s">
        <v>130</v>
      </c>
      <c r="J37" s="44" t="s">
        <v>130</v>
      </c>
      <c r="K37" s="45"/>
      <c r="L37" s="44" t="s">
        <v>130</v>
      </c>
      <c r="M37" s="44" t="s">
        <v>130</v>
      </c>
      <c r="N37" s="45"/>
      <c r="O37" s="45"/>
      <c r="P37" s="45"/>
      <c r="Q37" s="44" t="s">
        <v>130</v>
      </c>
      <c r="R37" s="45"/>
      <c r="S37" s="45"/>
      <c r="T37" s="45"/>
      <c r="U37" s="45"/>
      <c r="V37" s="44" t="s">
        <v>130</v>
      </c>
    </row>
    <row r="38" customFormat="false" ht="15" hidden="false" customHeight="false" outlineLevel="0" collapsed="false">
      <c r="D38" s="46" t="s">
        <v>131</v>
      </c>
      <c r="E38" s="47" t="n">
        <v>16</v>
      </c>
      <c r="F38" s="47" t="n">
        <v>15</v>
      </c>
      <c r="G38" s="47" t="n">
        <v>16</v>
      </c>
      <c r="H38" s="47" t="n">
        <v>16</v>
      </c>
      <c r="I38" s="47" t="n">
        <v>17</v>
      </c>
      <c r="J38" s="47" t="n">
        <v>15</v>
      </c>
      <c r="K38" s="47" t="n">
        <v>17</v>
      </c>
      <c r="L38" s="47" t="n">
        <v>17</v>
      </c>
      <c r="M38" s="47" t="n">
        <v>16</v>
      </c>
      <c r="N38" s="47" t="n">
        <v>17</v>
      </c>
      <c r="O38" s="47" t="n">
        <v>15</v>
      </c>
      <c r="P38" s="47" t="n">
        <v>15</v>
      </c>
      <c r="Q38" s="47" t="n">
        <v>17</v>
      </c>
      <c r="R38" s="47" t="n">
        <v>13</v>
      </c>
      <c r="S38" s="47" t="n">
        <v>17</v>
      </c>
      <c r="T38" s="47" t="n">
        <v>17</v>
      </c>
      <c r="U38" s="47" t="n">
        <v>14</v>
      </c>
      <c r="V38" s="47" t="n">
        <v>17</v>
      </c>
    </row>
  </sheetData>
  <mergeCells count="2">
    <mergeCell ref="B2:V2"/>
    <mergeCell ref="B3:V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2026-06-05T05:04:10Z</dcterms:created>
  <dc:creator>openpyxl</dc:creator>
  <dc:description/>
  <dc:language>en-US</dc:language>
  <cp:lastModifiedBy/>
  <dcterms:modified xsi:type="dcterms:W3CDTF">2026-06-05T05:04:10Z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