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lejandroorihuela/Library/Application Support/Claude/local-agent-mode-sessions/228f998c-1700-4364-9fdd-0afe292c76d4/66bb9c13-fcf9-4c34-893b-7066d906f05e/local_506fc8db-95c5-4961-949d-a4a560d91e56/outputs/"/>
    </mc:Choice>
  </mc:AlternateContent>
  <xr:revisionPtr revIDLastSave="0" documentId="13_ncr:1_{E9F40D33-76C5-AE4A-9EC6-33F0EB6E7870}" xr6:coauthVersionLast="47" xr6:coauthVersionMax="47" xr10:uidLastSave="{00000000-0000-0000-0000-000000000000}"/>
  <bookViews>
    <workbookView xWindow="10740" yWindow="8980" windowWidth="16380" windowHeight="11500" tabRatio="500" activeTab="1" xr2:uid="{00000000-000D-0000-FFFF-FFFF00000000}"/>
  </bookViews>
  <sheets>
    <sheet name="Resumen" sheetId="1" r:id="rId1"/>
    <sheet name="Probabilidades" sheetId="2" r:id="rId2"/>
    <sheet name="Sistema" sheetId="3" r:id="rId3"/>
    <sheet name="Cashout y Hedg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4" l="1"/>
  <c r="B16" i="4"/>
  <c r="D277" i="3"/>
  <c r="C277" i="3"/>
  <c r="D276" i="3"/>
  <c r="C276" i="3"/>
  <c r="D275" i="3"/>
  <c r="C275" i="3"/>
  <c r="D274" i="3"/>
  <c r="C274" i="3"/>
  <c r="D273" i="3"/>
  <c r="C273" i="3"/>
  <c r="D272" i="3"/>
  <c r="C272" i="3"/>
  <c r="D271" i="3"/>
  <c r="C271" i="3"/>
  <c r="D270" i="3"/>
  <c r="C270" i="3"/>
  <c r="D269" i="3"/>
  <c r="C269" i="3"/>
  <c r="D268" i="3"/>
  <c r="C268" i="3"/>
  <c r="D267" i="3"/>
  <c r="C267" i="3"/>
  <c r="D266" i="3"/>
  <c r="C266" i="3"/>
  <c r="D265" i="3"/>
  <c r="C265" i="3"/>
  <c r="D264" i="3"/>
  <c r="C264" i="3"/>
  <c r="C278" i="3" s="1"/>
  <c r="C281" i="3" s="1"/>
  <c r="D263" i="3"/>
  <c r="C263" i="3"/>
  <c r="D262" i="3"/>
  <c r="C262" i="3"/>
  <c r="D261" i="3"/>
  <c r="C261" i="3"/>
  <c r="D260" i="3"/>
  <c r="C260" i="3"/>
  <c r="D259" i="3"/>
  <c r="C259" i="3"/>
  <c r="D258" i="3"/>
  <c r="C258" i="3"/>
  <c r="C249" i="3"/>
  <c r="C252" i="3" s="1"/>
  <c r="D248" i="3"/>
  <c r="C248" i="3"/>
  <c r="D247" i="3"/>
  <c r="C247" i="3"/>
  <c r="D246" i="3"/>
  <c r="C246" i="3"/>
  <c r="D245" i="3"/>
  <c r="C245" i="3"/>
  <c r="D244" i="3"/>
  <c r="C244" i="3"/>
  <c r="D243" i="3"/>
  <c r="C243" i="3"/>
  <c r="D242" i="3"/>
  <c r="C242" i="3"/>
  <c r="D241" i="3"/>
  <c r="C241" i="3"/>
  <c r="D240" i="3"/>
  <c r="C240" i="3"/>
  <c r="D239" i="3"/>
  <c r="C239" i="3"/>
  <c r="D238" i="3"/>
  <c r="C238" i="3"/>
  <c r="D237" i="3"/>
  <c r="C237" i="3"/>
  <c r="D236" i="3"/>
  <c r="C236" i="3"/>
  <c r="D235" i="3"/>
  <c r="C235" i="3"/>
  <c r="D234" i="3"/>
  <c r="C234" i="3"/>
  <c r="D233" i="3"/>
  <c r="C233" i="3"/>
  <c r="D232" i="3"/>
  <c r="C232" i="3"/>
  <c r="D231" i="3"/>
  <c r="C231" i="3"/>
  <c r="D230" i="3"/>
  <c r="C230" i="3"/>
  <c r="D229" i="3"/>
  <c r="C229" i="3"/>
  <c r="D219" i="3"/>
  <c r="C219" i="3"/>
  <c r="D218" i="3"/>
  <c r="C218" i="3"/>
  <c r="D217" i="3"/>
  <c r="C217" i="3"/>
  <c r="D216" i="3"/>
  <c r="C216" i="3"/>
  <c r="D215" i="3"/>
  <c r="C215" i="3"/>
  <c r="D214" i="3"/>
  <c r="C214" i="3"/>
  <c r="D213" i="3"/>
  <c r="C213" i="3"/>
  <c r="D212" i="3"/>
  <c r="C212" i="3"/>
  <c r="D211" i="3"/>
  <c r="C211" i="3"/>
  <c r="D210" i="3"/>
  <c r="C210" i="3"/>
  <c r="D209" i="3"/>
  <c r="C209" i="3"/>
  <c r="D208" i="3"/>
  <c r="C208" i="3"/>
  <c r="D207" i="3"/>
  <c r="C207" i="3"/>
  <c r="D206" i="3"/>
  <c r="C206" i="3"/>
  <c r="D205" i="3"/>
  <c r="C205" i="3"/>
  <c r="D204" i="3"/>
  <c r="C204" i="3"/>
  <c r="D203" i="3"/>
  <c r="C203" i="3"/>
  <c r="D202" i="3"/>
  <c r="C202" i="3"/>
  <c r="D201" i="3"/>
  <c r="C201" i="3"/>
  <c r="C220" i="3" s="1"/>
  <c r="C223" i="3" s="1"/>
  <c r="D200" i="3"/>
  <c r="C200" i="3"/>
  <c r="C191" i="3"/>
  <c r="C194" i="3" s="1"/>
  <c r="D190" i="3"/>
  <c r="C190" i="3"/>
  <c r="D189" i="3"/>
  <c r="C189" i="3"/>
  <c r="D188" i="3"/>
  <c r="C188" i="3"/>
  <c r="D187" i="3"/>
  <c r="C187" i="3"/>
  <c r="D186" i="3"/>
  <c r="C186" i="3"/>
  <c r="D185" i="3"/>
  <c r="C185" i="3"/>
  <c r="D184" i="3"/>
  <c r="C184" i="3"/>
  <c r="D183" i="3"/>
  <c r="C183" i="3"/>
  <c r="D182" i="3"/>
  <c r="C182" i="3"/>
  <c r="D181" i="3"/>
  <c r="C181" i="3"/>
  <c r="D180" i="3"/>
  <c r="C180" i="3"/>
  <c r="D179" i="3"/>
  <c r="C179" i="3"/>
  <c r="D178" i="3"/>
  <c r="C178" i="3"/>
  <c r="D177" i="3"/>
  <c r="C177" i="3"/>
  <c r="D176" i="3"/>
  <c r="C176" i="3"/>
  <c r="D175" i="3"/>
  <c r="C175" i="3"/>
  <c r="D174" i="3"/>
  <c r="C174" i="3"/>
  <c r="D173" i="3"/>
  <c r="C173" i="3"/>
  <c r="D172" i="3"/>
  <c r="C172" i="3"/>
  <c r="D171" i="3"/>
  <c r="C171" i="3"/>
  <c r="D161" i="3"/>
  <c r="C161" i="3"/>
  <c r="D160" i="3"/>
  <c r="C160" i="3"/>
  <c r="D159" i="3"/>
  <c r="C159" i="3"/>
  <c r="D158" i="3"/>
  <c r="C158" i="3"/>
  <c r="D157" i="3"/>
  <c r="C157" i="3"/>
  <c r="D156" i="3"/>
  <c r="C156" i="3"/>
  <c r="D155" i="3"/>
  <c r="C155" i="3"/>
  <c r="D154" i="3"/>
  <c r="C154" i="3"/>
  <c r="C162" i="3" s="1"/>
  <c r="C165" i="3" s="1"/>
  <c r="D153" i="3"/>
  <c r="C153" i="3"/>
  <c r="D152" i="3"/>
  <c r="C152" i="3"/>
  <c r="D142" i="3"/>
  <c r="C142" i="3"/>
  <c r="D141" i="3"/>
  <c r="C141" i="3"/>
  <c r="D140" i="3"/>
  <c r="C140" i="3"/>
  <c r="D139" i="3"/>
  <c r="C139" i="3"/>
  <c r="D138" i="3"/>
  <c r="C138" i="3"/>
  <c r="D137" i="3"/>
  <c r="C137" i="3"/>
  <c r="D136" i="3"/>
  <c r="C136" i="3"/>
  <c r="D135" i="3"/>
  <c r="C135" i="3"/>
  <c r="D134" i="3"/>
  <c r="C134" i="3"/>
  <c r="C143" i="3" s="1"/>
  <c r="C146" i="3" s="1"/>
  <c r="D133" i="3"/>
  <c r="C133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25" i="3" s="1"/>
  <c r="C114" i="3"/>
  <c r="C124" i="3" s="1"/>
  <c r="C127" i="3" s="1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C105" i="3" s="1"/>
  <c r="C108" i="3" s="1"/>
  <c r="D95" i="3"/>
  <c r="C95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C86" i="3" s="1"/>
  <c r="C89" i="3" s="1"/>
  <c r="D78" i="3"/>
  <c r="C78" i="3"/>
  <c r="D77" i="3"/>
  <c r="C77" i="3"/>
  <c r="D76" i="3"/>
  <c r="C76" i="3"/>
  <c r="C68" i="3"/>
  <c r="D66" i="3"/>
  <c r="C66" i="3"/>
  <c r="C67" i="3" s="1"/>
  <c r="C70" i="3" s="1"/>
  <c r="D65" i="3"/>
  <c r="C65" i="3"/>
  <c r="D64" i="3"/>
  <c r="C64" i="3"/>
  <c r="D63" i="3"/>
  <c r="C63" i="3"/>
  <c r="D62" i="3"/>
  <c r="C62" i="3"/>
  <c r="D52" i="3"/>
  <c r="C52" i="3"/>
  <c r="C53" i="3" s="1"/>
  <c r="C56" i="3" s="1"/>
  <c r="D51" i="3"/>
  <c r="C51" i="3"/>
  <c r="D50" i="3"/>
  <c r="C50" i="3"/>
  <c r="D49" i="3"/>
  <c r="C49" i="3"/>
  <c r="D48" i="3"/>
  <c r="C48" i="3"/>
  <c r="C39" i="3"/>
  <c r="C42" i="3" s="1"/>
  <c r="D38" i="3"/>
  <c r="C38" i="3"/>
  <c r="D37" i="3"/>
  <c r="C37" i="3"/>
  <c r="D36" i="3"/>
  <c r="C36" i="3"/>
  <c r="D35" i="3"/>
  <c r="C35" i="3"/>
  <c r="D34" i="3"/>
  <c r="C34" i="3"/>
  <c r="C25" i="3"/>
  <c r="C28" i="3" s="1"/>
  <c r="D24" i="3"/>
  <c r="C24" i="3"/>
  <c r="D23" i="3"/>
  <c r="C23" i="3"/>
  <c r="D22" i="3"/>
  <c r="C22" i="3"/>
  <c r="D21" i="3"/>
  <c r="C21" i="3"/>
  <c r="D20" i="3"/>
  <c r="C26" i="3" s="1"/>
  <c r="C20" i="3"/>
  <c r="C11" i="3"/>
  <c r="C14" i="3" s="1"/>
  <c r="D10" i="3"/>
  <c r="C10" i="3"/>
  <c r="D9" i="3"/>
  <c r="C9" i="3"/>
  <c r="D8" i="3"/>
  <c r="C8" i="3"/>
  <c r="D7" i="3"/>
  <c r="C7" i="3"/>
  <c r="D6" i="3"/>
  <c r="C6" i="3"/>
  <c r="G42" i="2"/>
  <c r="E42" i="2"/>
  <c r="G41" i="2"/>
  <c r="E41" i="2"/>
  <c r="G40" i="2"/>
  <c r="E40" i="2"/>
  <c r="G39" i="2"/>
  <c r="E39" i="2"/>
  <c r="G38" i="2"/>
  <c r="E38" i="2"/>
  <c r="G37" i="2"/>
  <c r="E37" i="2"/>
  <c r="G36" i="2"/>
  <c r="E36" i="2"/>
  <c r="G35" i="2"/>
  <c r="E35" i="2"/>
  <c r="G34" i="2"/>
  <c r="E34" i="2"/>
  <c r="G33" i="2"/>
  <c r="E33" i="2"/>
  <c r="G32" i="2"/>
  <c r="E32" i="2"/>
  <c r="G31" i="2"/>
  <c r="E31" i="2"/>
  <c r="G30" i="2"/>
  <c r="E30" i="2"/>
  <c r="G29" i="2"/>
  <c r="E29" i="2"/>
  <c r="G28" i="2"/>
  <c r="E28" i="2"/>
  <c r="G27" i="2"/>
  <c r="E27" i="2"/>
  <c r="G26" i="2"/>
  <c r="E26" i="2"/>
  <c r="G25" i="2"/>
  <c r="E25" i="2"/>
  <c r="G24" i="2"/>
  <c r="E24" i="2"/>
  <c r="G23" i="2"/>
  <c r="E23" i="2"/>
  <c r="G22" i="2"/>
  <c r="E22" i="2"/>
  <c r="G21" i="2"/>
  <c r="E21" i="2"/>
  <c r="G20" i="2"/>
  <c r="E20" i="2"/>
  <c r="G19" i="2"/>
  <c r="E19" i="2"/>
  <c r="G18" i="2"/>
  <c r="E18" i="2"/>
  <c r="G17" i="2"/>
  <c r="E17" i="2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  <c r="G2" i="2"/>
  <c r="E2" i="2"/>
  <c r="B5" i="1"/>
  <c r="C106" i="3" l="1"/>
  <c r="C163" i="3"/>
  <c r="C166" i="3" s="1"/>
  <c r="C167" i="3" s="1"/>
  <c r="C221" i="3"/>
  <c r="C224" i="3" s="1"/>
  <c r="C225" i="3" s="1"/>
  <c r="C12" i="3"/>
  <c r="C15" i="3" s="1"/>
  <c r="C54" i="3"/>
  <c r="C57" i="3" s="1"/>
  <c r="C58" i="3" s="1"/>
  <c r="C279" i="3"/>
  <c r="C282" i="3" s="1"/>
  <c r="C283" i="3" s="1"/>
  <c r="C144" i="3"/>
  <c r="C147" i="3" s="1"/>
  <c r="C148" i="3" s="1"/>
  <c r="C250" i="3"/>
  <c r="C253" i="3" s="1"/>
  <c r="C254" i="3" s="1"/>
  <c r="C87" i="3"/>
  <c r="C192" i="3"/>
  <c r="C195" i="3" s="1"/>
  <c r="C196" i="3" s="1"/>
  <c r="C40" i="3"/>
  <c r="C43" i="3" s="1"/>
  <c r="C44" i="3" s="1"/>
  <c r="C90" i="3"/>
  <c r="C91" i="3" s="1"/>
  <c r="C29" i="3"/>
  <c r="C30" i="3" s="1"/>
  <c r="C71" i="3"/>
  <c r="C72" i="3" s="1"/>
  <c r="C109" i="3"/>
  <c r="C110" i="3" s="1"/>
  <c r="C128" i="3"/>
  <c r="C129" i="3" s="1"/>
  <c r="B7" i="1" l="1"/>
  <c r="C16" i="3"/>
  <c r="B6" i="1"/>
</calcChain>
</file>

<file path=xl/sharedStrings.xml><?xml version="1.0" encoding="utf-8"?>
<sst xmlns="http://schemas.openxmlformats.org/spreadsheetml/2006/main" count="633" uniqueCount="144">
  <si>
    <t>Sistema de combinadas — Mundial 2026</t>
  </si>
  <si>
    <t>Base: cuotas de mercado · 14 combinadas (5 anclas, 5 medias, 4 lotería)</t>
  </si>
  <si>
    <t>TOTALES (en vivo, según tus ediciones)</t>
  </si>
  <si>
    <t>Apuesta total (S/)</t>
  </si>
  <si>
    <t>EV total del portafolio (S/)</t>
  </si>
  <si>
    <t># combinadas con +EV (de 14)</t>
  </si>
  <si>
    <t>BASELINE con probabilidades de mercado (simulación 200k, sin tu ventaja)</t>
  </si>
  <si>
    <t>P(que alguna combinada gane)</t>
  </si>
  <si>
    <t>91.43%</t>
  </si>
  <si>
    <t>P(la ronda sea rentable, neto&gt;0)</t>
  </si>
  <si>
    <t>36.13%</t>
  </si>
  <si>
    <t>Neto promedio por ronda</t>
  </si>
  <si>
    <t>S/ -0.16</t>
  </si>
  <si>
    <t>Apuesta total (provisional)</t>
  </si>
  <si>
    <t>S/ 245</t>
  </si>
  <si>
    <t>CÓMO USARLO:</t>
  </si>
  <si>
    <t>1) Ve a 'Probabilidades' y ajusta la columna amarilla MI PROB con tu lectura de cada partido.</t>
  </si>
  <si>
    <t>2) Mira 'Sistema': las combinadas con EV&gt;0 (¿+EV? = SÍ) son donde tu lectura le gana al mercado.</t>
  </si>
  <si>
    <t>3) Ajusta las apuestas (azul) en 'Sistema'. Aquí arriba ves el EV total en vivo.</t>
  </si>
  <si>
    <t>4) En vivo usa 'Cashout y Hedge' para decidir cuándo cerrar o asegurar.</t>
  </si>
  <si>
    <t>NOTA: el baseline de arriba es estático (cuotas de mercado). El EV en vivo usa TU prob.</t>
  </si>
  <si>
    <t>#</t>
  </si>
  <si>
    <t>Pick</t>
  </si>
  <si>
    <t>Partido</t>
  </si>
  <si>
    <t>Cuota</t>
  </si>
  <si>
    <t>P mercado</t>
  </si>
  <si>
    <t>MI PROB (editable)</t>
  </si>
  <si>
    <t>Mi cuota justa</t>
  </si>
  <si>
    <t>En # combos</t>
  </si>
  <si>
    <t>México gana</t>
  </si>
  <si>
    <t>México vs Sudáfrica</t>
  </si>
  <si>
    <t>3/14</t>
  </si>
  <si>
    <t>Suiza gana</t>
  </si>
  <si>
    <t>Catar vs Suiza</t>
  </si>
  <si>
    <t>4/14</t>
  </si>
  <si>
    <t>Escocia gana</t>
  </si>
  <si>
    <t>Haití vs Escocia</t>
  </si>
  <si>
    <t>2/14</t>
  </si>
  <si>
    <t>Turquía gana</t>
  </si>
  <si>
    <t>Australia vs Turquía</t>
  </si>
  <si>
    <t>1/14</t>
  </si>
  <si>
    <t>Alemania gana</t>
  </si>
  <si>
    <t>Alemania vs Curazao</t>
  </si>
  <si>
    <t>6/14</t>
  </si>
  <si>
    <t>España gana</t>
  </si>
  <si>
    <t>España vs Cabo Verde</t>
  </si>
  <si>
    <t>Bélgica o empate (1X)</t>
  </si>
  <si>
    <t>Bélgica vs Egipto</t>
  </si>
  <si>
    <t>Uruguay gana</t>
  </si>
  <si>
    <t>Arabia Saudita vs Uruguay</t>
  </si>
  <si>
    <t>Francia gana</t>
  </si>
  <si>
    <t>Francia vs Senegal</t>
  </si>
  <si>
    <t>Noruega gana</t>
  </si>
  <si>
    <t>Irak vs Noruega</t>
  </si>
  <si>
    <t>5/14</t>
  </si>
  <si>
    <t>Argentina gana</t>
  </si>
  <si>
    <t>Argentina vs Argelia</t>
  </si>
  <si>
    <t>Austria gana</t>
  </si>
  <si>
    <t>Austria vs Jordan</t>
  </si>
  <si>
    <t>Portugal gana</t>
  </si>
  <si>
    <t>Portugal vs RD Congo</t>
  </si>
  <si>
    <t>Ghana o empate (1X)</t>
  </si>
  <si>
    <t>Ghana vs Panamá</t>
  </si>
  <si>
    <t>Colombia gana</t>
  </si>
  <si>
    <t>Uzbekistán vs Colombia</t>
  </si>
  <si>
    <t>Rep. Checa o empate (1X)</t>
  </si>
  <si>
    <t>Rep. Checa vs Sudáfrica</t>
  </si>
  <si>
    <t>Suiza o empate (1X)</t>
  </si>
  <si>
    <t>Suiza vs Bosnia</t>
  </si>
  <si>
    <t>EE.UU. o empate (1X)</t>
  </si>
  <si>
    <t>EE.UU. vs Australia</t>
  </si>
  <si>
    <t>Marruecos gana</t>
  </si>
  <si>
    <t>Escocia vs Marruecos</t>
  </si>
  <si>
    <t>Brasil gana</t>
  </si>
  <si>
    <t>Brasil vs Haití</t>
  </si>
  <si>
    <t>Ecuador gana</t>
  </si>
  <si>
    <t>Ecuador vs Curazao</t>
  </si>
  <si>
    <t>Japón o empate (2X)</t>
  </si>
  <si>
    <t>Túnez vs Japón</t>
  </si>
  <si>
    <t>España vs Arabia Saudita</t>
  </si>
  <si>
    <t>Bélgica gana</t>
  </si>
  <si>
    <t>Bélgica vs Irán</t>
  </si>
  <si>
    <t>Uruguay vs Cabo Verde</t>
  </si>
  <si>
    <t>Egipto o empate (2X)</t>
  </si>
  <si>
    <t>Nueva Zelanda vs Egipto</t>
  </si>
  <si>
    <t>Argentina vs Austria</t>
  </si>
  <si>
    <t>Francia vs Irak</t>
  </si>
  <si>
    <t>Argelia o empate (2X)</t>
  </si>
  <si>
    <t>Jordan vs Argelia</t>
  </si>
  <si>
    <t>Portugal vs Uzbekistán</t>
  </si>
  <si>
    <t>Inglaterra gana</t>
  </si>
  <si>
    <t>Inglaterra vs Ghana</t>
  </si>
  <si>
    <t>Croacia gana</t>
  </si>
  <si>
    <t>Panamá vs Croacia</t>
  </si>
  <si>
    <t>Colombia vs RD Congo</t>
  </si>
  <si>
    <t>Escocia vs Brasil</t>
  </si>
  <si>
    <t>Marruecos vs Haití</t>
  </si>
  <si>
    <t>Corea del Sur o empate (2X)</t>
  </si>
  <si>
    <t>Sudáfrica vs Corea del Sur</t>
  </si>
  <si>
    <t>Costa de Marfil gana</t>
  </si>
  <si>
    <t>Curazao vs Costa de Marfil</t>
  </si>
  <si>
    <t>Senegal gana</t>
  </si>
  <si>
    <t>Senegal vs Irak</t>
  </si>
  <si>
    <t>Nueva Zelanda vs Bélgica</t>
  </si>
  <si>
    <t>Panamá vs Inglaterra</t>
  </si>
  <si>
    <t>Jordan vs Argentina</t>
  </si>
  <si>
    <t>Edita SOLO la columna amarilla 'MI PROB' con tu lectura de cada partido. Todo lo demás se recalcula solo.</t>
  </si>
  <si>
    <t>SISTEMA DE COMBINADAS — barra (anclas cortas + medias + lotería)</t>
  </si>
  <si>
    <t>Apuesta (azul) editable. EV&gt;0 = combinada con valor según TU probabilidad.</t>
  </si>
  <si>
    <t>COMBINADA A1  ·  5 patas</t>
  </si>
  <si>
    <t>Mi P</t>
  </si>
  <si>
    <t>Cuota total</t>
  </si>
  <si>
    <t>P(gana) según tu prob</t>
  </si>
  <si>
    <t>Apuesta (S/) — editable</t>
  </si>
  <si>
    <t>Pago si gana (S/)</t>
  </si>
  <si>
    <t>EV (S/)</t>
  </si>
  <si>
    <t>¿+EV?</t>
  </si>
  <si>
    <t>COMBINADA A2  ·  5 patas</t>
  </si>
  <si>
    <t>COMBINADA A3  ·  5 patas</t>
  </si>
  <si>
    <t>COMBINADA A4  ·  5 patas</t>
  </si>
  <si>
    <t>COMBINADA A5  ·  5 patas</t>
  </si>
  <si>
    <t>COMBINADA M1  ·  10 patas</t>
  </si>
  <si>
    <t>COMBINADA M2  ·  10 patas</t>
  </si>
  <si>
    <t>COMBINADA M3  ·  10 patas</t>
  </si>
  <si>
    <t>COMBINADA M4  ·  10 patas</t>
  </si>
  <si>
    <t>COMBINADA M5  ·  10 patas</t>
  </si>
  <si>
    <t>COMBINADA L1  ·  20 patas</t>
  </si>
  <si>
    <t>COMBINADA L2  ·  20 patas</t>
  </si>
  <si>
    <t>COMBINADA L3  ·  20 patas</t>
  </si>
  <si>
    <t>COMBINADA L4  ·  20 patas</t>
  </si>
  <si>
    <t>Gestión en vivo: Cashout y Cobertura (Hedge)</t>
  </si>
  <si>
    <t>REGLA DE CASHOUT (heurística)</t>
  </si>
  <si>
    <t>• El cashout convierte una combinada 'viva' en valor asegurado. Idea: compara lo ofrecido contra lo que esperas si sigues.</t>
  </si>
  <si>
    <t>• Valor esperado de seguir = (prob. conjunta de las patas restantes) × (pago potencial).</t>
  </si>
  <si>
    <t>• Cierra (cashout) cuando: el cashout ofrecido ≥ ese valor esperado, O cuando ya asegura tu objetivo de ganancia y no quieres arriesgar.</t>
  </si>
  <si>
    <t>• Con aversión al riesgo (proteger banca), conviene cerrar ANTES de lo que diría el EV puro.</t>
  </si>
  <si>
    <t>• Regla práctica simple: si te quedan ≤2 patas y el cashout supera tu umbral de ganancia, cierra.</t>
  </si>
  <si>
    <t>CALCULADORA DE HEDGE (última pata viva)</t>
  </si>
  <si>
    <t>Cuando una combinada llega viva a su última pata, puedes asegurar ganancia apostando al resultado contrario.</t>
  </si>
  <si>
    <t>Pago potencial si gana la combinada (W, S/)</t>
  </si>
  <si>
    <t>Cuota del resultado CONTRARIO (o)</t>
  </si>
  <si>
    <t>Lo ya apostado en la combinada (S, S/)</t>
  </si>
  <si>
    <t>Cuánto apostar al contrario (hedge = W/o)</t>
  </si>
  <si>
    <t>Ganancia GARANTIZADA pase lo que pase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</si>
</sst>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S/ &quot;#,##0"/>
    <numFmt numFmtId="165" formatCode="&quot;S/ &quot;#,##0.00;[Red]&quot;S/ -&quot;#,##0.00"/>
    <numFmt numFmtId="166" formatCode="0.0%"/>
    <numFmt numFmtId="167" formatCode="&quot;S/ &quot;#,##0.00"/>
  </numFmts>
  <fonts count="13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11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0000FF"/>
      <name val="Arial"/>
      <charset val="1"/>
    </font>
    <font>
      <i/>
      <sz val="10"/>
      <color rgb="FF0000FF"/>
      <name val="Arial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2"/>
      <color rgb="FFFFFFFF"/>
      <name val="Arial"/>
      <charset val="1"/>
    </font>
    <font>
      <b/>
      <sz val="11"/>
      <color rgb="FF0061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1" fillId="2" borderId="0" xfId="0" applyFont="1" applyFill="1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2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7" fillId="3" borderId="1" xfId="0" applyNumberFormat="1" applyFont="1" applyFill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3" fillId="0" borderId="1" xfId="0" applyFont="1" applyBorder="1" applyAlignment="1">
      <alignment horizontal="center" vertical="center"/>
    </xf>
    <xf numFmtId="0" fontId="4" fillId="4" borderId="1" xfId="0" applyFont="1" applyFill="1" applyBorder="1"/>
    <xf numFmtId="0" fontId="3" fillId="0" borderId="0" xfId="0" applyFont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" fontId="7" fillId="3" borderId="0" xfId="0" applyNumberFormat="1" applyFont="1" applyFill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/>
    <xf numFmtId="0" fontId="4" fillId="5" borderId="1" xfId="0" applyFont="1" applyFill="1" applyBorder="1"/>
    <xf numFmtId="164" fontId="7" fillId="3" borderId="0" xfId="0" applyNumberFormat="1" applyFont="1" applyFill="1" applyAlignment="1">
      <alignment horizontal="center" vertical="center"/>
    </xf>
    <xf numFmtId="2" fontId="7" fillId="3" borderId="0" xfId="0" applyNumberFormat="1" applyFont="1" applyFill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zoomScaleNormal="100" workbookViewId="0"/>
  </sheetViews>
  <sheetFormatPr baseColWidth="10" defaultColWidth="8.6640625" defaultRowHeight="15" x14ac:dyDescent="0.2"/>
  <cols>
    <col min="1" max="1" width="46" customWidth="1"/>
    <col min="2" max="2" width="18" customWidth="1"/>
  </cols>
  <sheetData>
    <row r="1" spans="1:6" ht="20" x14ac:dyDescent="0.2">
      <c r="A1" s="4" t="s">
        <v>0</v>
      </c>
    </row>
    <row r="2" spans="1:6" x14ac:dyDescent="0.2">
      <c r="A2" s="5" t="s">
        <v>1</v>
      </c>
    </row>
    <row r="4" spans="1:6" x14ac:dyDescent="0.2">
      <c r="A4" s="6" t="s">
        <v>2</v>
      </c>
    </row>
    <row r="5" spans="1:6" x14ac:dyDescent="0.2">
      <c r="A5" s="7" t="s">
        <v>3</v>
      </c>
      <c r="B5" s="8">
        <f>Sistema!C13+Sistema!C27+Sistema!C41+Sistema!C55+Sistema!C69+Sistema!C88+Sistema!C107+Sistema!C126+Sistema!C145+Sistema!C164+Sistema!C193+Sistema!C222+Sistema!C251+Sistema!C280</f>
        <v>245</v>
      </c>
    </row>
    <row r="6" spans="1:6" x14ac:dyDescent="0.2">
      <c r="A6" s="7" t="s">
        <v>4</v>
      </c>
      <c r="B6" s="9">
        <f>Sistema!C15+Sistema!C29+Sistema!C43+Sistema!C57+Sistema!C71+Sistema!C90+Sistema!C109+Sistema!C128+Sistema!C147+Sistema!C166+Sistema!C195+Sistema!C224+Sistema!C253+Sistema!C282</f>
        <v>128.99055168090379</v>
      </c>
    </row>
    <row r="7" spans="1:6" x14ac:dyDescent="0.2">
      <c r="A7" s="7" t="s">
        <v>5</v>
      </c>
      <c r="B7" s="10">
        <f>IF(Sistema!C15&gt;0,1,0)+IF(Sistema!C29&gt;0,1,0)+IF(Sistema!C43&gt;0,1,0)+IF(Sistema!C57&gt;0,1,0)+IF(Sistema!C71&gt;0,1,0)+IF(Sistema!C90&gt;0,1,0)+IF(Sistema!C109&gt;0,1,0)+IF(Sistema!C128&gt;0,1,0)+IF(Sistema!C147&gt;0,1,0)+IF(Sistema!C166&gt;0,1,0)+IF(Sistema!C195&gt;0,1,0)+IF(Sistema!C224&gt;0,1,0)+IF(Sistema!C253&gt;0,1,0)+IF(Sistema!C282&gt;0,1,0)</f>
        <v>11</v>
      </c>
    </row>
    <row r="9" spans="1:6" x14ac:dyDescent="0.2">
      <c r="A9" s="6" t="s">
        <v>6</v>
      </c>
    </row>
    <row r="10" spans="1:6" x14ac:dyDescent="0.2">
      <c r="A10" s="7" t="s">
        <v>7</v>
      </c>
      <c r="B10" s="11" t="s">
        <v>8</v>
      </c>
    </row>
    <row r="11" spans="1:6" x14ac:dyDescent="0.2">
      <c r="A11" s="7" t="s">
        <v>9</v>
      </c>
      <c r="B11" s="11" t="s">
        <v>10</v>
      </c>
    </row>
    <row r="12" spans="1:6" x14ac:dyDescent="0.2">
      <c r="A12" s="7" t="s">
        <v>11</v>
      </c>
      <c r="B12" s="11" t="s">
        <v>12</v>
      </c>
    </row>
    <row r="13" spans="1:6" x14ac:dyDescent="0.2">
      <c r="A13" s="7" t="s">
        <v>13</v>
      </c>
      <c r="B13" s="11" t="s">
        <v>14</v>
      </c>
    </row>
    <row r="15" spans="1:6" x14ac:dyDescent="0.2">
      <c r="A15" s="3" t="s">
        <v>15</v>
      </c>
      <c r="B15" s="3"/>
      <c r="C15" s="3"/>
      <c r="D15" s="3"/>
      <c r="E15" s="3"/>
      <c r="F15" s="3"/>
    </row>
    <row r="16" spans="1:6" x14ac:dyDescent="0.2">
      <c r="A16" s="2" t="s">
        <v>16</v>
      </c>
      <c r="B16" s="2"/>
      <c r="C16" s="2"/>
      <c r="D16" s="2"/>
      <c r="E16" s="2"/>
      <c r="F16" s="2"/>
    </row>
    <row r="17" spans="1:6" x14ac:dyDescent="0.2">
      <c r="A17" s="2" t="s">
        <v>17</v>
      </c>
      <c r="B17" s="2"/>
      <c r="C17" s="2"/>
      <c r="D17" s="2"/>
      <c r="E17" s="2"/>
      <c r="F17" s="2"/>
    </row>
    <row r="18" spans="1:6" x14ac:dyDescent="0.2">
      <c r="A18" s="2" t="s">
        <v>18</v>
      </c>
      <c r="B18" s="2"/>
      <c r="C18" s="2"/>
      <c r="D18" s="2"/>
      <c r="E18" s="2"/>
      <c r="F18" s="2"/>
    </row>
    <row r="19" spans="1:6" x14ac:dyDescent="0.2">
      <c r="A19" s="2" t="s">
        <v>19</v>
      </c>
      <c r="B19" s="2"/>
      <c r="C19" s="2"/>
      <c r="D19" s="2"/>
      <c r="E19" s="2"/>
      <c r="F19" s="2"/>
    </row>
    <row r="20" spans="1:6" x14ac:dyDescent="0.2">
      <c r="A20" s="2" t="s">
        <v>20</v>
      </c>
      <c r="B20" s="2"/>
      <c r="C20" s="2"/>
      <c r="D20" s="2"/>
      <c r="E20" s="2"/>
      <c r="F20" s="2"/>
    </row>
  </sheetData>
  <mergeCells count="6">
    <mergeCell ref="A20:F20"/>
    <mergeCell ref="A15:F15"/>
    <mergeCell ref="A16:F16"/>
    <mergeCell ref="A17:F17"/>
    <mergeCell ref="A18:F18"/>
    <mergeCell ref="A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4"/>
  <sheetViews>
    <sheetView tabSelected="1" zoomScaleNormal="100" workbookViewId="0">
      <pane ySplit="1" topLeftCell="A2" activePane="bottomLeft" state="frozen"/>
      <selection pane="bottomLeft" activeCell="F39" sqref="F39"/>
    </sheetView>
  </sheetViews>
  <sheetFormatPr baseColWidth="10" defaultColWidth="8.6640625" defaultRowHeight="15" x14ac:dyDescent="0.2"/>
  <cols>
    <col min="1" max="1" width="5" customWidth="1"/>
    <col min="2" max="2" width="26" customWidth="1"/>
    <col min="3" max="3" width="30" customWidth="1"/>
    <col min="4" max="4" width="8" customWidth="1"/>
    <col min="5" max="5" width="11" customWidth="1"/>
    <col min="6" max="6" width="18" customWidth="1"/>
    <col min="7" max="7" width="13" customWidth="1"/>
    <col min="8" max="8" width="12" customWidth="1"/>
  </cols>
  <sheetData>
    <row r="1" spans="1:8" x14ac:dyDescent="0.2">
      <c r="A1" s="12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2" t="s">
        <v>28</v>
      </c>
    </row>
    <row r="2" spans="1:8" x14ac:dyDescent="0.2">
      <c r="A2" s="13">
        <v>1</v>
      </c>
      <c r="B2" s="14" t="s">
        <v>29</v>
      </c>
      <c r="C2" s="14" t="s">
        <v>30</v>
      </c>
      <c r="D2" s="15">
        <v>1.45</v>
      </c>
      <c r="E2" s="16">
        <f t="shared" ref="E2:E42" si="0">1/D2</f>
        <v>0.68965517241379315</v>
      </c>
      <c r="F2" s="17">
        <v>0.75</v>
      </c>
      <c r="G2" s="15">
        <f t="shared" ref="G2:G42" si="1">1/F2</f>
        <v>1.3333333333333333</v>
      </c>
      <c r="H2" s="13" t="s">
        <v>31</v>
      </c>
    </row>
    <row r="3" spans="1:8" x14ac:dyDescent="0.2">
      <c r="A3" s="13">
        <v>2</v>
      </c>
      <c r="B3" s="14" t="s">
        <v>32</v>
      </c>
      <c r="C3" s="14" t="s">
        <v>33</v>
      </c>
      <c r="D3" s="15">
        <v>1.26</v>
      </c>
      <c r="E3" s="16">
        <f t="shared" si="0"/>
        <v>0.79365079365079361</v>
      </c>
      <c r="F3" s="17">
        <v>0.87</v>
      </c>
      <c r="G3" s="15">
        <f t="shared" si="1"/>
        <v>1.1494252873563218</v>
      </c>
      <c r="H3" s="13" t="s">
        <v>34</v>
      </c>
    </row>
    <row r="4" spans="1:8" x14ac:dyDescent="0.2">
      <c r="A4" s="13">
        <v>3</v>
      </c>
      <c r="B4" s="14" t="s">
        <v>35</v>
      </c>
      <c r="C4" s="14" t="s">
        <v>36</v>
      </c>
      <c r="D4" s="15">
        <v>1.47</v>
      </c>
      <c r="E4" s="16">
        <f t="shared" si="0"/>
        <v>0.68027210884353739</v>
      </c>
      <c r="F4" s="17">
        <v>0.65</v>
      </c>
      <c r="G4" s="15">
        <f t="shared" si="1"/>
        <v>1.5384615384615383</v>
      </c>
      <c r="H4" s="13" t="s">
        <v>37</v>
      </c>
    </row>
    <row r="5" spans="1:8" x14ac:dyDescent="0.2">
      <c r="A5" s="13">
        <v>4</v>
      </c>
      <c r="B5" s="14" t="s">
        <v>38</v>
      </c>
      <c r="C5" s="14" t="s">
        <v>39</v>
      </c>
      <c r="D5" s="15">
        <v>1.8</v>
      </c>
      <c r="E5" s="16">
        <f t="shared" si="0"/>
        <v>0.55555555555555558</v>
      </c>
      <c r="F5" s="17">
        <v>0.78</v>
      </c>
      <c r="G5" s="15">
        <f t="shared" si="1"/>
        <v>1.2820512820512819</v>
      </c>
      <c r="H5" s="13" t="s">
        <v>40</v>
      </c>
    </row>
    <row r="6" spans="1:8" x14ac:dyDescent="0.2">
      <c r="A6" s="13">
        <v>5</v>
      </c>
      <c r="B6" s="14" t="s">
        <v>41</v>
      </c>
      <c r="C6" s="14" t="s">
        <v>42</v>
      </c>
      <c r="D6" s="15">
        <v>1.05</v>
      </c>
      <c r="E6" s="16">
        <f t="shared" si="0"/>
        <v>0.95238095238095233</v>
      </c>
      <c r="F6" s="17">
        <v>0.98</v>
      </c>
      <c r="G6" s="15">
        <f t="shared" si="1"/>
        <v>1.0204081632653061</v>
      </c>
      <c r="H6" s="13" t="s">
        <v>43</v>
      </c>
    </row>
    <row r="7" spans="1:8" x14ac:dyDescent="0.2">
      <c r="A7" s="13">
        <v>6</v>
      </c>
      <c r="B7" s="14" t="s">
        <v>44</v>
      </c>
      <c r="C7" s="14" t="s">
        <v>45</v>
      </c>
      <c r="D7" s="15">
        <v>1.1000000000000001</v>
      </c>
      <c r="E7" s="16">
        <f t="shared" si="0"/>
        <v>0.90909090909090906</v>
      </c>
      <c r="F7" s="17">
        <v>0.98</v>
      </c>
      <c r="G7" s="15">
        <f t="shared" si="1"/>
        <v>1.0204081632653061</v>
      </c>
      <c r="H7" s="13" t="s">
        <v>43</v>
      </c>
    </row>
    <row r="8" spans="1:8" x14ac:dyDescent="0.2">
      <c r="A8" s="13">
        <v>7</v>
      </c>
      <c r="B8" s="14" t="s">
        <v>46</v>
      </c>
      <c r="C8" s="14" t="s">
        <v>47</v>
      </c>
      <c r="D8" s="15">
        <v>1.19</v>
      </c>
      <c r="E8" s="16">
        <f t="shared" si="0"/>
        <v>0.84033613445378152</v>
      </c>
      <c r="F8" s="17">
        <v>0.77</v>
      </c>
      <c r="G8" s="15">
        <f t="shared" si="1"/>
        <v>1.2987012987012987</v>
      </c>
      <c r="H8" s="13" t="s">
        <v>43</v>
      </c>
    </row>
    <row r="9" spans="1:8" x14ac:dyDescent="0.2">
      <c r="A9" s="13">
        <v>8</v>
      </c>
      <c r="B9" s="14" t="s">
        <v>48</v>
      </c>
      <c r="C9" s="14" t="s">
        <v>49</v>
      </c>
      <c r="D9" s="15">
        <v>1.5</v>
      </c>
      <c r="E9" s="16">
        <f t="shared" si="0"/>
        <v>0.66666666666666663</v>
      </c>
      <c r="F9" s="17">
        <v>0.66669999999999996</v>
      </c>
      <c r="G9" s="15">
        <f t="shared" si="1"/>
        <v>1.4999250037498126</v>
      </c>
      <c r="H9" s="13" t="s">
        <v>37</v>
      </c>
    </row>
    <row r="10" spans="1:8" x14ac:dyDescent="0.2">
      <c r="A10" s="13">
        <v>9</v>
      </c>
      <c r="B10" s="14" t="s">
        <v>50</v>
      </c>
      <c r="C10" s="14" t="s">
        <v>51</v>
      </c>
      <c r="D10" s="15">
        <v>1.47</v>
      </c>
      <c r="E10" s="16">
        <f t="shared" si="0"/>
        <v>0.68027210884353739</v>
      </c>
      <c r="F10" s="17">
        <v>0.71</v>
      </c>
      <c r="G10" s="15">
        <f t="shared" si="1"/>
        <v>1.4084507042253522</v>
      </c>
      <c r="H10" s="13" t="s">
        <v>37</v>
      </c>
    </row>
    <row r="11" spans="1:8" x14ac:dyDescent="0.2">
      <c r="A11" s="13">
        <v>10</v>
      </c>
      <c r="B11" s="14" t="s">
        <v>52</v>
      </c>
      <c r="C11" s="14" t="s">
        <v>53</v>
      </c>
      <c r="D11" s="15">
        <v>1.23</v>
      </c>
      <c r="E11" s="16">
        <f t="shared" si="0"/>
        <v>0.81300813008130079</v>
      </c>
      <c r="F11" s="17">
        <v>0.87</v>
      </c>
      <c r="G11" s="15">
        <f t="shared" si="1"/>
        <v>1.1494252873563218</v>
      </c>
      <c r="H11" s="13" t="s">
        <v>54</v>
      </c>
    </row>
    <row r="12" spans="1:8" x14ac:dyDescent="0.2">
      <c r="A12" s="13">
        <v>11</v>
      </c>
      <c r="B12" s="14" t="s">
        <v>55</v>
      </c>
      <c r="C12" s="14" t="s">
        <v>56</v>
      </c>
      <c r="D12" s="15">
        <v>1.42</v>
      </c>
      <c r="E12" s="16">
        <f t="shared" si="0"/>
        <v>0.70422535211267612</v>
      </c>
      <c r="F12" s="17">
        <v>0.68</v>
      </c>
      <c r="G12" s="15">
        <f t="shared" si="1"/>
        <v>1.4705882352941175</v>
      </c>
      <c r="H12" s="13" t="s">
        <v>31</v>
      </c>
    </row>
    <row r="13" spans="1:8" x14ac:dyDescent="0.2">
      <c r="A13" s="13">
        <v>12</v>
      </c>
      <c r="B13" s="14" t="s">
        <v>57</v>
      </c>
      <c r="C13" s="14" t="s">
        <v>58</v>
      </c>
      <c r="D13" s="15">
        <v>1.34</v>
      </c>
      <c r="E13" s="16">
        <f t="shared" si="0"/>
        <v>0.74626865671641784</v>
      </c>
      <c r="F13" s="17">
        <v>0.82</v>
      </c>
      <c r="G13" s="15">
        <f t="shared" si="1"/>
        <v>1.2195121951219512</v>
      </c>
      <c r="H13" s="13" t="s">
        <v>31</v>
      </c>
    </row>
    <row r="14" spans="1:8" x14ac:dyDescent="0.2">
      <c r="A14" s="13">
        <v>13</v>
      </c>
      <c r="B14" s="14" t="s">
        <v>59</v>
      </c>
      <c r="C14" s="14" t="s">
        <v>60</v>
      </c>
      <c r="D14" s="15">
        <v>1.28</v>
      </c>
      <c r="E14" s="16">
        <f t="shared" si="0"/>
        <v>0.78125</v>
      </c>
      <c r="F14" s="17">
        <v>0.85</v>
      </c>
      <c r="G14" s="15">
        <f t="shared" si="1"/>
        <v>1.1764705882352942</v>
      </c>
      <c r="H14" s="13" t="s">
        <v>31</v>
      </c>
    </row>
    <row r="15" spans="1:8" x14ac:dyDescent="0.2">
      <c r="A15" s="13">
        <v>14</v>
      </c>
      <c r="B15" s="14" t="s">
        <v>61</v>
      </c>
      <c r="C15" s="14" t="s">
        <v>62</v>
      </c>
      <c r="D15" s="15">
        <v>1.29</v>
      </c>
      <c r="E15" s="16">
        <f t="shared" si="0"/>
        <v>0.77519379844961234</v>
      </c>
      <c r="F15" s="17">
        <v>0.8</v>
      </c>
      <c r="G15" s="15">
        <f t="shared" si="1"/>
        <v>1.25</v>
      </c>
      <c r="H15" s="13" t="s">
        <v>31</v>
      </c>
    </row>
    <row r="16" spans="1:8" x14ac:dyDescent="0.2">
      <c r="A16" s="13">
        <v>15</v>
      </c>
      <c r="B16" s="14" t="s">
        <v>63</v>
      </c>
      <c r="C16" s="14" t="s">
        <v>64</v>
      </c>
      <c r="D16" s="15">
        <v>1.42</v>
      </c>
      <c r="E16" s="16">
        <f t="shared" si="0"/>
        <v>0.70422535211267612</v>
      </c>
      <c r="F16" s="17">
        <v>0.92</v>
      </c>
      <c r="G16" s="15">
        <f t="shared" si="1"/>
        <v>1.0869565217391304</v>
      </c>
      <c r="H16" s="13" t="s">
        <v>31</v>
      </c>
    </row>
    <row r="17" spans="1:8" x14ac:dyDescent="0.2">
      <c r="A17" s="13">
        <v>16</v>
      </c>
      <c r="B17" s="14" t="s">
        <v>65</v>
      </c>
      <c r="C17" s="14" t="s">
        <v>66</v>
      </c>
      <c r="D17" s="15">
        <v>1.27</v>
      </c>
      <c r="E17" s="16">
        <f t="shared" si="0"/>
        <v>0.78740157480314954</v>
      </c>
      <c r="F17" s="17">
        <v>0.88</v>
      </c>
      <c r="G17" s="15">
        <f t="shared" si="1"/>
        <v>1.1363636363636365</v>
      </c>
      <c r="H17" s="13" t="s">
        <v>34</v>
      </c>
    </row>
    <row r="18" spans="1:8" x14ac:dyDescent="0.2">
      <c r="A18" s="13">
        <v>17</v>
      </c>
      <c r="B18" s="14" t="s">
        <v>67</v>
      </c>
      <c r="C18" s="14" t="s">
        <v>68</v>
      </c>
      <c r="D18" s="15">
        <v>1.17</v>
      </c>
      <c r="E18" s="16">
        <f t="shared" si="0"/>
        <v>0.85470085470085477</v>
      </c>
      <c r="F18" s="17">
        <v>0.76</v>
      </c>
      <c r="G18" s="15">
        <f t="shared" si="1"/>
        <v>1.3157894736842106</v>
      </c>
      <c r="H18" s="13" t="s">
        <v>43</v>
      </c>
    </row>
    <row r="19" spans="1:8" x14ac:dyDescent="0.2">
      <c r="A19" s="13">
        <v>18</v>
      </c>
      <c r="B19" s="14" t="s">
        <v>69</v>
      </c>
      <c r="C19" s="14" t="s">
        <v>70</v>
      </c>
      <c r="D19" s="15">
        <v>1.22</v>
      </c>
      <c r="E19" s="16">
        <f t="shared" si="0"/>
        <v>0.81967213114754101</v>
      </c>
      <c r="F19" s="17">
        <v>0.68</v>
      </c>
      <c r="G19" s="15">
        <f t="shared" si="1"/>
        <v>1.4705882352941175</v>
      </c>
      <c r="H19" s="13" t="s">
        <v>54</v>
      </c>
    </row>
    <row r="20" spans="1:8" x14ac:dyDescent="0.2">
      <c r="A20" s="13">
        <v>19</v>
      </c>
      <c r="B20" s="14" t="s">
        <v>71</v>
      </c>
      <c r="C20" s="14" t="s">
        <v>72</v>
      </c>
      <c r="D20" s="15">
        <v>2.0499999999999998</v>
      </c>
      <c r="E20" s="16">
        <f t="shared" si="0"/>
        <v>0.48780487804878053</v>
      </c>
      <c r="F20" s="17">
        <v>0.82</v>
      </c>
      <c r="G20" s="15">
        <f t="shared" si="1"/>
        <v>1.2195121951219512</v>
      </c>
      <c r="H20" s="13" t="s">
        <v>40</v>
      </c>
    </row>
    <row r="21" spans="1:8" x14ac:dyDescent="0.2">
      <c r="A21" s="13">
        <v>20</v>
      </c>
      <c r="B21" s="14" t="s">
        <v>73</v>
      </c>
      <c r="C21" s="14" t="s">
        <v>74</v>
      </c>
      <c r="D21" s="15">
        <v>1.06</v>
      </c>
      <c r="E21" s="16">
        <f t="shared" si="0"/>
        <v>0.94339622641509424</v>
      </c>
      <c r="F21" s="17">
        <v>0.99</v>
      </c>
      <c r="G21" s="15">
        <f t="shared" si="1"/>
        <v>1.0101010101010102</v>
      </c>
      <c r="H21" s="13" t="s">
        <v>43</v>
      </c>
    </row>
    <row r="22" spans="1:8" x14ac:dyDescent="0.2">
      <c r="A22" s="13">
        <v>21</v>
      </c>
      <c r="B22" s="14" t="s">
        <v>75</v>
      </c>
      <c r="C22" s="14" t="s">
        <v>76</v>
      </c>
      <c r="D22" s="15">
        <v>1.27</v>
      </c>
      <c r="E22" s="16">
        <f t="shared" si="0"/>
        <v>0.78740157480314954</v>
      </c>
      <c r="F22" s="17">
        <v>0.95</v>
      </c>
      <c r="G22" s="15">
        <f t="shared" si="1"/>
        <v>1.0526315789473684</v>
      </c>
      <c r="H22" s="13" t="s">
        <v>34</v>
      </c>
    </row>
    <row r="23" spans="1:8" x14ac:dyDescent="0.2">
      <c r="A23" s="13">
        <v>22</v>
      </c>
      <c r="B23" s="14" t="s">
        <v>77</v>
      </c>
      <c r="C23" s="14" t="s">
        <v>78</v>
      </c>
      <c r="D23" s="15">
        <v>1.2</v>
      </c>
      <c r="E23" s="16">
        <f t="shared" si="0"/>
        <v>0.83333333333333337</v>
      </c>
      <c r="F23" s="17">
        <v>0.83330000000000004</v>
      </c>
      <c r="G23" s="15">
        <f t="shared" si="1"/>
        <v>1.2000480019200768</v>
      </c>
      <c r="H23" s="13" t="s">
        <v>43</v>
      </c>
    </row>
    <row r="24" spans="1:8" x14ac:dyDescent="0.2">
      <c r="A24" s="13">
        <v>23</v>
      </c>
      <c r="B24" s="14" t="s">
        <v>44</v>
      </c>
      <c r="C24" s="14" t="s">
        <v>79</v>
      </c>
      <c r="D24" s="15">
        <v>1.1299999999999999</v>
      </c>
      <c r="E24" s="16">
        <f t="shared" si="0"/>
        <v>0.88495575221238942</v>
      </c>
      <c r="F24" s="17">
        <v>0.88500000000000001</v>
      </c>
      <c r="G24" s="15">
        <f t="shared" si="1"/>
        <v>1.1299435028248588</v>
      </c>
      <c r="H24" s="13" t="s">
        <v>43</v>
      </c>
    </row>
    <row r="25" spans="1:8" x14ac:dyDescent="0.2">
      <c r="A25" s="13">
        <v>24</v>
      </c>
      <c r="B25" s="14" t="s">
        <v>80</v>
      </c>
      <c r="C25" s="14" t="s">
        <v>81</v>
      </c>
      <c r="D25" s="15">
        <v>1.47</v>
      </c>
      <c r="E25" s="16">
        <f t="shared" si="0"/>
        <v>0.68027210884353739</v>
      </c>
      <c r="F25" s="17">
        <v>0.73</v>
      </c>
      <c r="G25" s="15">
        <f t="shared" si="1"/>
        <v>1.3698630136986301</v>
      </c>
      <c r="H25" s="13" t="s">
        <v>37</v>
      </c>
    </row>
    <row r="26" spans="1:8" x14ac:dyDescent="0.2">
      <c r="A26" s="13">
        <v>25</v>
      </c>
      <c r="B26" s="14" t="s">
        <v>48</v>
      </c>
      <c r="C26" s="14" t="s">
        <v>82</v>
      </c>
      <c r="D26" s="15">
        <v>1.47</v>
      </c>
      <c r="E26" s="16">
        <f t="shared" si="0"/>
        <v>0.68027210884353739</v>
      </c>
      <c r="F26" s="17">
        <v>0.76</v>
      </c>
      <c r="G26" s="15">
        <f t="shared" si="1"/>
        <v>1.3157894736842106</v>
      </c>
      <c r="H26" s="13" t="s">
        <v>37</v>
      </c>
    </row>
    <row r="27" spans="1:8" x14ac:dyDescent="0.2">
      <c r="A27" s="13">
        <v>26</v>
      </c>
      <c r="B27" s="14" t="s">
        <v>83</v>
      </c>
      <c r="C27" s="14" t="s">
        <v>84</v>
      </c>
      <c r="D27" s="15">
        <v>1.19</v>
      </c>
      <c r="E27" s="16">
        <f t="shared" si="0"/>
        <v>0.84033613445378152</v>
      </c>
      <c r="F27" s="17">
        <v>0.87</v>
      </c>
      <c r="G27" s="15">
        <f t="shared" si="1"/>
        <v>1.1494252873563218</v>
      </c>
      <c r="H27" s="13" t="s">
        <v>43</v>
      </c>
    </row>
    <row r="28" spans="1:8" x14ac:dyDescent="0.2">
      <c r="A28" s="13">
        <v>27</v>
      </c>
      <c r="B28" s="14" t="s">
        <v>55</v>
      </c>
      <c r="C28" s="14" t="s">
        <v>85</v>
      </c>
      <c r="D28" s="15">
        <v>1.67</v>
      </c>
      <c r="E28" s="16">
        <f t="shared" si="0"/>
        <v>0.5988023952095809</v>
      </c>
      <c r="F28" s="17">
        <v>0.55000000000000004</v>
      </c>
      <c r="G28" s="15">
        <f t="shared" si="1"/>
        <v>1.8181818181818181</v>
      </c>
      <c r="H28" s="13" t="s">
        <v>37</v>
      </c>
    </row>
    <row r="29" spans="1:8" x14ac:dyDescent="0.2">
      <c r="A29" s="13">
        <v>28</v>
      </c>
      <c r="B29" s="14" t="s">
        <v>50</v>
      </c>
      <c r="C29" s="14" t="s">
        <v>86</v>
      </c>
      <c r="D29" s="15">
        <v>1.1200000000000001</v>
      </c>
      <c r="E29" s="16">
        <f t="shared" si="0"/>
        <v>0.89285714285714279</v>
      </c>
      <c r="F29" s="17">
        <v>0.96</v>
      </c>
      <c r="G29" s="15">
        <f t="shared" si="1"/>
        <v>1.0416666666666667</v>
      </c>
      <c r="H29" s="13" t="s">
        <v>43</v>
      </c>
    </row>
    <row r="30" spans="1:8" x14ac:dyDescent="0.2">
      <c r="A30" s="13">
        <v>29</v>
      </c>
      <c r="B30" s="14" t="s">
        <v>87</v>
      </c>
      <c r="C30" s="14" t="s">
        <v>88</v>
      </c>
      <c r="D30" s="15">
        <v>1.18</v>
      </c>
      <c r="E30" s="16">
        <f t="shared" si="0"/>
        <v>0.84745762711864414</v>
      </c>
      <c r="F30" s="17">
        <v>0.71</v>
      </c>
      <c r="G30" s="15">
        <f t="shared" si="1"/>
        <v>1.4084507042253522</v>
      </c>
      <c r="H30" s="13" t="s">
        <v>43</v>
      </c>
    </row>
    <row r="31" spans="1:8" x14ac:dyDescent="0.2">
      <c r="A31" s="13">
        <v>30</v>
      </c>
      <c r="B31" s="14" t="s">
        <v>59</v>
      </c>
      <c r="C31" s="14" t="s">
        <v>89</v>
      </c>
      <c r="D31" s="15">
        <v>1.27</v>
      </c>
      <c r="E31" s="16">
        <f t="shared" si="0"/>
        <v>0.78740157480314954</v>
      </c>
      <c r="F31" s="17">
        <v>0.95</v>
      </c>
      <c r="G31" s="15">
        <f t="shared" si="1"/>
        <v>1.0526315789473684</v>
      </c>
      <c r="H31" s="13" t="s">
        <v>34</v>
      </c>
    </row>
    <row r="32" spans="1:8" x14ac:dyDescent="0.2">
      <c r="A32" s="13">
        <v>31</v>
      </c>
      <c r="B32" s="14" t="s">
        <v>90</v>
      </c>
      <c r="C32" s="14" t="s">
        <v>91</v>
      </c>
      <c r="D32" s="15">
        <v>1.32</v>
      </c>
      <c r="E32" s="16">
        <f t="shared" si="0"/>
        <v>0.75757575757575757</v>
      </c>
      <c r="F32" s="17">
        <v>0.82</v>
      </c>
      <c r="G32" s="15">
        <f t="shared" si="1"/>
        <v>1.2195121951219512</v>
      </c>
      <c r="H32" s="13" t="s">
        <v>31</v>
      </c>
    </row>
    <row r="33" spans="1:8" x14ac:dyDescent="0.2">
      <c r="A33" s="13">
        <v>32</v>
      </c>
      <c r="B33" s="14" t="s">
        <v>92</v>
      </c>
      <c r="C33" s="14" t="s">
        <v>93</v>
      </c>
      <c r="D33" s="15">
        <v>1.5</v>
      </c>
      <c r="E33" s="16">
        <f t="shared" si="0"/>
        <v>0.66666666666666663</v>
      </c>
      <c r="F33" s="17">
        <v>0.84</v>
      </c>
      <c r="G33" s="15">
        <f t="shared" si="1"/>
        <v>1.1904761904761905</v>
      </c>
      <c r="H33" s="13" t="s">
        <v>37</v>
      </c>
    </row>
    <row r="34" spans="1:8" x14ac:dyDescent="0.2">
      <c r="A34" s="13">
        <v>33</v>
      </c>
      <c r="B34" s="14" t="s">
        <v>63</v>
      </c>
      <c r="C34" s="14" t="s">
        <v>94</v>
      </c>
      <c r="D34" s="15">
        <v>1.52</v>
      </c>
      <c r="E34" s="16">
        <f t="shared" si="0"/>
        <v>0.65789473684210531</v>
      </c>
      <c r="F34" s="17">
        <v>0.75</v>
      </c>
      <c r="G34" s="15">
        <f t="shared" si="1"/>
        <v>1.3333333333333333</v>
      </c>
      <c r="H34" s="13" t="s">
        <v>37</v>
      </c>
    </row>
    <row r="35" spans="1:8" x14ac:dyDescent="0.2">
      <c r="A35" s="13">
        <v>34</v>
      </c>
      <c r="B35" s="14" t="s">
        <v>73</v>
      </c>
      <c r="C35" s="14" t="s">
        <v>95</v>
      </c>
      <c r="D35" s="15">
        <v>1.4</v>
      </c>
      <c r="E35" s="16">
        <f t="shared" si="0"/>
        <v>0.7142857142857143</v>
      </c>
      <c r="F35" s="17">
        <v>0.92</v>
      </c>
      <c r="G35" s="15">
        <f t="shared" si="1"/>
        <v>1.0869565217391304</v>
      </c>
      <c r="H35" s="13" t="s">
        <v>31</v>
      </c>
    </row>
    <row r="36" spans="1:8" x14ac:dyDescent="0.2">
      <c r="A36" s="13">
        <v>35</v>
      </c>
      <c r="B36" s="14" t="s">
        <v>71</v>
      </c>
      <c r="C36" s="14" t="s">
        <v>96</v>
      </c>
      <c r="D36" s="15">
        <v>1.26</v>
      </c>
      <c r="E36" s="16">
        <f t="shared" si="0"/>
        <v>0.79365079365079361</v>
      </c>
      <c r="F36" s="17">
        <v>0.93</v>
      </c>
      <c r="G36" s="15">
        <f t="shared" si="1"/>
        <v>1.075268817204301</v>
      </c>
      <c r="H36" s="13" t="s">
        <v>34</v>
      </c>
    </row>
    <row r="37" spans="1:8" x14ac:dyDescent="0.2">
      <c r="A37" s="13">
        <v>36</v>
      </c>
      <c r="B37" s="14" t="s">
        <v>97</v>
      </c>
      <c r="C37" s="14" t="s">
        <v>98</v>
      </c>
      <c r="D37" s="15">
        <v>1.27</v>
      </c>
      <c r="E37" s="16">
        <f t="shared" si="0"/>
        <v>0.78740157480314954</v>
      </c>
      <c r="F37" s="17">
        <v>0.8</v>
      </c>
      <c r="G37" s="15">
        <f t="shared" si="1"/>
        <v>1.25</v>
      </c>
      <c r="H37" s="13" t="s">
        <v>34</v>
      </c>
    </row>
    <row r="38" spans="1:8" x14ac:dyDescent="0.2">
      <c r="A38" s="13">
        <v>37</v>
      </c>
      <c r="B38" s="14" t="s">
        <v>99</v>
      </c>
      <c r="C38" s="14" t="s">
        <v>100</v>
      </c>
      <c r="D38" s="15">
        <v>1.34</v>
      </c>
      <c r="E38" s="16">
        <f t="shared" si="0"/>
        <v>0.74626865671641784</v>
      </c>
      <c r="F38" s="17">
        <v>0.84</v>
      </c>
      <c r="G38" s="15">
        <f t="shared" si="1"/>
        <v>1.1904761904761905</v>
      </c>
      <c r="H38" s="13" t="s">
        <v>31</v>
      </c>
    </row>
    <row r="39" spans="1:8" x14ac:dyDescent="0.2">
      <c r="A39" s="13">
        <v>38</v>
      </c>
      <c r="B39" s="14" t="s">
        <v>101</v>
      </c>
      <c r="C39" s="14" t="s">
        <v>102</v>
      </c>
      <c r="D39" s="15">
        <v>1.47</v>
      </c>
      <c r="E39" s="16">
        <f t="shared" si="0"/>
        <v>0.68027210884353739</v>
      </c>
      <c r="F39" s="17">
        <v>0.73</v>
      </c>
      <c r="G39" s="15">
        <f t="shared" si="1"/>
        <v>1.3698630136986301</v>
      </c>
      <c r="H39" s="13" t="s">
        <v>37</v>
      </c>
    </row>
    <row r="40" spans="1:8" x14ac:dyDescent="0.2">
      <c r="A40" s="13">
        <v>39</v>
      </c>
      <c r="B40" s="14" t="s">
        <v>80</v>
      </c>
      <c r="C40" s="14" t="s">
        <v>103</v>
      </c>
      <c r="D40" s="15">
        <v>1.3</v>
      </c>
      <c r="E40" s="16">
        <f t="shared" si="0"/>
        <v>0.76923076923076916</v>
      </c>
      <c r="F40" s="17">
        <v>0.86</v>
      </c>
      <c r="G40" s="15">
        <f t="shared" si="1"/>
        <v>1.1627906976744187</v>
      </c>
      <c r="H40" s="13" t="s">
        <v>31</v>
      </c>
    </row>
    <row r="41" spans="1:8" x14ac:dyDescent="0.2">
      <c r="A41" s="13">
        <v>40</v>
      </c>
      <c r="B41" s="14" t="s">
        <v>90</v>
      </c>
      <c r="C41" s="14" t="s">
        <v>104</v>
      </c>
      <c r="D41" s="15">
        <v>1.2</v>
      </c>
      <c r="E41" s="16">
        <f t="shared" si="0"/>
        <v>0.83333333333333337</v>
      </c>
      <c r="F41" s="17">
        <v>0.95</v>
      </c>
      <c r="G41" s="15">
        <f t="shared" si="1"/>
        <v>1.0526315789473684</v>
      </c>
      <c r="H41" s="13" t="s">
        <v>54</v>
      </c>
    </row>
    <row r="42" spans="1:8" x14ac:dyDescent="0.2">
      <c r="A42" s="13">
        <v>41</v>
      </c>
      <c r="B42" s="14" t="s">
        <v>55</v>
      </c>
      <c r="C42" s="14" t="s">
        <v>105</v>
      </c>
      <c r="D42" s="15">
        <v>1.2</v>
      </c>
      <c r="E42" s="16">
        <f t="shared" si="0"/>
        <v>0.83333333333333337</v>
      </c>
      <c r="F42" s="17">
        <v>0.91</v>
      </c>
      <c r="G42" s="15">
        <f t="shared" si="1"/>
        <v>1.0989010989010988</v>
      </c>
      <c r="H42" s="13" t="s">
        <v>43</v>
      </c>
    </row>
    <row r="44" spans="1:8" x14ac:dyDescent="0.2">
      <c r="B44" s="18" t="s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3"/>
  <sheetViews>
    <sheetView zoomScaleNormal="100" workbookViewId="0"/>
  </sheetViews>
  <sheetFormatPr baseColWidth="10" defaultColWidth="8.6640625" defaultRowHeight="15" x14ac:dyDescent="0.2"/>
  <cols>
    <col min="1" max="1" width="24" customWidth="1"/>
    <col min="2" max="2" width="30" customWidth="1"/>
    <col min="3" max="3" width="12" customWidth="1"/>
    <col min="4" max="4" width="10" customWidth="1"/>
  </cols>
  <sheetData>
    <row r="1" spans="1:4" ht="18" x14ac:dyDescent="0.2">
      <c r="A1" s="19" t="s">
        <v>107</v>
      </c>
    </row>
    <row r="2" spans="1:4" x14ac:dyDescent="0.2">
      <c r="A2" s="20" t="s">
        <v>108</v>
      </c>
    </row>
    <row r="4" spans="1:4" ht="16" x14ac:dyDescent="0.2">
      <c r="A4" s="1" t="s">
        <v>109</v>
      </c>
      <c r="B4" s="1"/>
      <c r="C4" s="1"/>
      <c r="D4" s="1"/>
    </row>
    <row r="5" spans="1:4" x14ac:dyDescent="0.2">
      <c r="A5" s="21" t="s">
        <v>22</v>
      </c>
      <c r="B5" s="21" t="s">
        <v>23</v>
      </c>
      <c r="C5" s="21" t="s">
        <v>24</v>
      </c>
      <c r="D5" s="21" t="s">
        <v>110</v>
      </c>
    </row>
    <row r="6" spans="1:4" x14ac:dyDescent="0.2">
      <c r="A6" s="22" t="s">
        <v>41</v>
      </c>
      <c r="B6" s="14" t="s">
        <v>42</v>
      </c>
      <c r="C6" s="15">
        <f>Probabilidades!D6</f>
        <v>1.05</v>
      </c>
      <c r="D6" s="16">
        <f>Probabilidades!F6</f>
        <v>0.98</v>
      </c>
    </row>
    <row r="7" spans="1:4" x14ac:dyDescent="0.2">
      <c r="A7" s="22" t="s">
        <v>44</v>
      </c>
      <c r="B7" s="14" t="s">
        <v>45</v>
      </c>
      <c r="C7" s="15">
        <f>Probabilidades!D7</f>
        <v>1.1000000000000001</v>
      </c>
      <c r="D7" s="16">
        <f>Probabilidades!F7</f>
        <v>0.98</v>
      </c>
    </row>
    <row r="8" spans="1:4" x14ac:dyDescent="0.2">
      <c r="A8" s="22" t="s">
        <v>73</v>
      </c>
      <c r="B8" s="14" t="s">
        <v>74</v>
      </c>
      <c r="C8" s="15">
        <f>Probabilidades!D21</f>
        <v>1.06</v>
      </c>
      <c r="D8" s="16">
        <f>Probabilidades!F21</f>
        <v>0.99</v>
      </c>
    </row>
    <row r="9" spans="1:4" x14ac:dyDescent="0.2">
      <c r="A9" s="22" t="s">
        <v>44</v>
      </c>
      <c r="B9" s="14" t="s">
        <v>79</v>
      </c>
      <c r="C9" s="15">
        <f>Probabilidades!D24</f>
        <v>1.1299999999999999</v>
      </c>
      <c r="D9" s="16">
        <f>Probabilidades!F24</f>
        <v>0.88500000000000001</v>
      </c>
    </row>
    <row r="10" spans="1:4" x14ac:dyDescent="0.2">
      <c r="A10" s="22" t="s">
        <v>50</v>
      </c>
      <c r="B10" s="14" t="s">
        <v>86</v>
      </c>
      <c r="C10" s="15">
        <f>Probabilidades!D29</f>
        <v>1.1200000000000001</v>
      </c>
      <c r="D10" s="16">
        <f>Probabilidades!F29</f>
        <v>0.96</v>
      </c>
    </row>
    <row r="11" spans="1:4" x14ac:dyDescent="0.2">
      <c r="A11" s="23" t="s">
        <v>111</v>
      </c>
      <c r="C11" s="24">
        <f>ROUND(PRODUCT(C6:C10),2)</f>
        <v>1.55</v>
      </c>
    </row>
    <row r="12" spans="1:4" x14ac:dyDescent="0.2">
      <c r="A12" s="23" t="s">
        <v>112</v>
      </c>
      <c r="C12" s="25">
        <f>PRODUCT(D6:D10)</f>
        <v>0.80779628159999983</v>
      </c>
    </row>
    <row r="13" spans="1:4" x14ac:dyDescent="0.2">
      <c r="A13" s="23" t="s">
        <v>113</v>
      </c>
      <c r="C13" s="26">
        <v>30</v>
      </c>
    </row>
    <row r="14" spans="1:4" x14ac:dyDescent="0.2">
      <c r="A14" s="23" t="s">
        <v>114</v>
      </c>
      <c r="C14" s="27">
        <f>C11*C13</f>
        <v>46.5</v>
      </c>
    </row>
    <row r="15" spans="1:4" x14ac:dyDescent="0.2">
      <c r="A15" s="23" t="s">
        <v>115</v>
      </c>
      <c r="C15" s="9">
        <f>C12*C14-C13</f>
        <v>7.5625270943999894</v>
      </c>
    </row>
    <row r="16" spans="1:4" x14ac:dyDescent="0.2">
      <c r="A16" s="23" t="s">
        <v>116</v>
      </c>
      <c r="C16" s="28" t="str">
        <f>IF(C15&gt;0,"SÍ ✓","no")</f>
        <v>SÍ ✓</v>
      </c>
    </row>
    <row r="18" spans="1:4" ht="16" x14ac:dyDescent="0.2">
      <c r="A18" s="1" t="s">
        <v>117</v>
      </c>
      <c r="B18" s="1"/>
      <c r="C18" s="1"/>
      <c r="D18" s="1"/>
    </row>
    <row r="19" spans="1:4" x14ac:dyDescent="0.2">
      <c r="A19" s="21" t="s">
        <v>22</v>
      </c>
      <c r="B19" s="21" t="s">
        <v>23</v>
      </c>
      <c r="C19" s="21" t="s">
        <v>24</v>
      </c>
      <c r="D19" s="21" t="s">
        <v>110</v>
      </c>
    </row>
    <row r="20" spans="1:4" x14ac:dyDescent="0.2">
      <c r="A20" s="22" t="s">
        <v>46</v>
      </c>
      <c r="B20" s="14" t="s">
        <v>47</v>
      </c>
      <c r="C20" s="15">
        <f>Probabilidades!D8</f>
        <v>1.19</v>
      </c>
      <c r="D20" s="16">
        <f>Probabilidades!F8</f>
        <v>0.77</v>
      </c>
    </row>
    <row r="21" spans="1:4" x14ac:dyDescent="0.2">
      <c r="A21" s="22" t="s">
        <v>67</v>
      </c>
      <c r="B21" s="14" t="s">
        <v>68</v>
      </c>
      <c r="C21" s="15">
        <f>Probabilidades!D18</f>
        <v>1.17</v>
      </c>
      <c r="D21" s="16">
        <f>Probabilidades!F18</f>
        <v>0.76</v>
      </c>
    </row>
    <row r="22" spans="1:4" x14ac:dyDescent="0.2">
      <c r="A22" s="22" t="s">
        <v>77</v>
      </c>
      <c r="B22" s="14" t="s">
        <v>78</v>
      </c>
      <c r="C22" s="15">
        <f>Probabilidades!D23</f>
        <v>1.2</v>
      </c>
      <c r="D22" s="16">
        <f>Probabilidades!F23</f>
        <v>0.83330000000000004</v>
      </c>
    </row>
    <row r="23" spans="1:4" x14ac:dyDescent="0.2">
      <c r="A23" s="22" t="s">
        <v>83</v>
      </c>
      <c r="B23" s="14" t="s">
        <v>84</v>
      </c>
      <c r="C23" s="15">
        <f>Probabilidades!D27</f>
        <v>1.19</v>
      </c>
      <c r="D23" s="16">
        <f>Probabilidades!F27</f>
        <v>0.87</v>
      </c>
    </row>
    <row r="24" spans="1:4" x14ac:dyDescent="0.2">
      <c r="A24" s="22" t="s">
        <v>87</v>
      </c>
      <c r="B24" s="14" t="s">
        <v>88</v>
      </c>
      <c r="C24" s="15">
        <f>Probabilidades!D30</f>
        <v>1.18</v>
      </c>
      <c r="D24" s="16">
        <f>Probabilidades!F30</f>
        <v>0.71</v>
      </c>
    </row>
    <row r="25" spans="1:4" x14ac:dyDescent="0.2">
      <c r="A25" s="23" t="s">
        <v>111</v>
      </c>
      <c r="C25" s="24">
        <f>ROUND(PRODUCT(C20:C24),2)</f>
        <v>2.35</v>
      </c>
    </row>
    <row r="26" spans="1:4" x14ac:dyDescent="0.2">
      <c r="A26" s="23" t="s">
        <v>112</v>
      </c>
      <c r="C26" s="25">
        <f>PRODUCT(D20:D24)</f>
        <v>0.30121965073200002</v>
      </c>
    </row>
    <row r="27" spans="1:4" x14ac:dyDescent="0.2">
      <c r="A27" s="23" t="s">
        <v>113</v>
      </c>
      <c r="C27" s="26">
        <v>30</v>
      </c>
    </row>
    <row r="28" spans="1:4" x14ac:dyDescent="0.2">
      <c r="A28" s="23" t="s">
        <v>114</v>
      </c>
      <c r="C28" s="27">
        <f>C25*C27</f>
        <v>70.5</v>
      </c>
    </row>
    <row r="29" spans="1:4" x14ac:dyDescent="0.2">
      <c r="A29" s="23" t="s">
        <v>115</v>
      </c>
      <c r="C29" s="9">
        <f>C26*C28-C27</f>
        <v>-8.7640146233939973</v>
      </c>
    </row>
    <row r="30" spans="1:4" x14ac:dyDescent="0.2">
      <c r="A30" s="23" t="s">
        <v>116</v>
      </c>
      <c r="C30" s="28" t="str">
        <f>IF(C29&gt;0,"SÍ ✓","no")</f>
        <v>no</v>
      </c>
    </row>
    <row r="32" spans="1:4" ht="16" x14ac:dyDescent="0.2">
      <c r="A32" s="1" t="s">
        <v>118</v>
      </c>
      <c r="B32" s="1"/>
      <c r="C32" s="1"/>
      <c r="D32" s="1"/>
    </row>
    <row r="33" spans="1:4" x14ac:dyDescent="0.2">
      <c r="A33" s="21" t="s">
        <v>22</v>
      </c>
      <c r="B33" s="21" t="s">
        <v>23</v>
      </c>
      <c r="C33" s="21" t="s">
        <v>24</v>
      </c>
      <c r="D33" s="21" t="s">
        <v>110</v>
      </c>
    </row>
    <row r="34" spans="1:4" x14ac:dyDescent="0.2">
      <c r="A34" s="22" t="s">
        <v>41</v>
      </c>
      <c r="B34" s="14" t="s">
        <v>42</v>
      </c>
      <c r="C34" s="15">
        <f>Probabilidades!D6</f>
        <v>1.05</v>
      </c>
      <c r="D34" s="16">
        <f>Probabilidades!F6</f>
        <v>0.98</v>
      </c>
    </row>
    <row r="35" spans="1:4" x14ac:dyDescent="0.2">
      <c r="A35" s="22" t="s">
        <v>52</v>
      </c>
      <c r="B35" s="14" t="s">
        <v>53</v>
      </c>
      <c r="C35" s="15">
        <f>Probabilidades!D11</f>
        <v>1.23</v>
      </c>
      <c r="D35" s="16">
        <f>Probabilidades!F11</f>
        <v>0.87</v>
      </c>
    </row>
    <row r="36" spans="1:4" x14ac:dyDescent="0.2">
      <c r="A36" s="22" t="s">
        <v>69</v>
      </c>
      <c r="B36" s="14" t="s">
        <v>70</v>
      </c>
      <c r="C36" s="15">
        <f>Probabilidades!D19</f>
        <v>1.22</v>
      </c>
      <c r="D36" s="16">
        <f>Probabilidades!F19</f>
        <v>0.68</v>
      </c>
    </row>
    <row r="37" spans="1:4" x14ac:dyDescent="0.2">
      <c r="A37" s="22" t="s">
        <v>90</v>
      </c>
      <c r="B37" s="14" t="s">
        <v>104</v>
      </c>
      <c r="C37" s="15">
        <f>Probabilidades!D41</f>
        <v>1.2</v>
      </c>
      <c r="D37" s="16">
        <f>Probabilidades!F41</f>
        <v>0.95</v>
      </c>
    </row>
    <row r="38" spans="1:4" x14ac:dyDescent="0.2">
      <c r="A38" s="22" t="s">
        <v>55</v>
      </c>
      <c r="B38" s="14" t="s">
        <v>105</v>
      </c>
      <c r="C38" s="15">
        <f>Probabilidades!D42</f>
        <v>1.2</v>
      </c>
      <c r="D38" s="16">
        <f>Probabilidades!F42</f>
        <v>0.91</v>
      </c>
    </row>
    <row r="39" spans="1:4" x14ac:dyDescent="0.2">
      <c r="A39" s="23" t="s">
        <v>111</v>
      </c>
      <c r="C39" s="24">
        <f>ROUND(PRODUCT(C34:C38),2)</f>
        <v>2.27</v>
      </c>
    </row>
    <row r="40" spans="1:4" x14ac:dyDescent="0.2">
      <c r="A40" s="23" t="s">
        <v>112</v>
      </c>
      <c r="C40" s="25">
        <f>PRODUCT(D34:D38)</f>
        <v>0.50120943600000001</v>
      </c>
    </row>
    <row r="41" spans="1:4" x14ac:dyDescent="0.2">
      <c r="A41" s="23" t="s">
        <v>113</v>
      </c>
      <c r="C41" s="26">
        <v>30</v>
      </c>
    </row>
    <row r="42" spans="1:4" x14ac:dyDescent="0.2">
      <c r="A42" s="23" t="s">
        <v>114</v>
      </c>
      <c r="C42" s="27">
        <f>C39*C41</f>
        <v>68.099999999999994</v>
      </c>
    </row>
    <row r="43" spans="1:4" x14ac:dyDescent="0.2">
      <c r="A43" s="23" t="s">
        <v>115</v>
      </c>
      <c r="C43" s="9">
        <f>C40*C42-C41</f>
        <v>4.1323625915999997</v>
      </c>
    </row>
    <row r="44" spans="1:4" x14ac:dyDescent="0.2">
      <c r="A44" s="23" t="s">
        <v>116</v>
      </c>
      <c r="C44" s="28" t="str">
        <f>IF(C43&gt;0,"SÍ ✓","no")</f>
        <v>SÍ ✓</v>
      </c>
    </row>
    <row r="46" spans="1:4" ht="16" x14ac:dyDescent="0.2">
      <c r="A46" s="1" t="s">
        <v>119</v>
      </c>
      <c r="B46" s="1"/>
      <c r="C46" s="1"/>
      <c r="D46" s="1"/>
    </row>
    <row r="47" spans="1:4" x14ac:dyDescent="0.2">
      <c r="A47" s="21" t="s">
        <v>22</v>
      </c>
      <c r="B47" s="21" t="s">
        <v>23</v>
      </c>
      <c r="C47" s="21" t="s">
        <v>24</v>
      </c>
      <c r="D47" s="21" t="s">
        <v>110</v>
      </c>
    </row>
    <row r="48" spans="1:4" x14ac:dyDescent="0.2">
      <c r="A48" s="22" t="s">
        <v>44</v>
      </c>
      <c r="B48" s="14" t="s">
        <v>45</v>
      </c>
      <c r="C48" s="15">
        <f>Probabilidades!D7</f>
        <v>1.1000000000000001</v>
      </c>
      <c r="D48" s="16">
        <f>Probabilidades!F7</f>
        <v>0.98</v>
      </c>
    </row>
    <row r="49" spans="1:4" x14ac:dyDescent="0.2">
      <c r="A49" s="22" t="s">
        <v>67</v>
      </c>
      <c r="B49" s="14" t="s">
        <v>68</v>
      </c>
      <c r="C49" s="15">
        <f>Probabilidades!D18</f>
        <v>1.17</v>
      </c>
      <c r="D49" s="16">
        <f>Probabilidades!F18</f>
        <v>0.76</v>
      </c>
    </row>
    <row r="50" spans="1:4" x14ac:dyDescent="0.2">
      <c r="A50" s="22" t="s">
        <v>73</v>
      </c>
      <c r="B50" s="14" t="s">
        <v>74</v>
      </c>
      <c r="C50" s="15">
        <f>Probabilidades!D21</f>
        <v>1.06</v>
      </c>
      <c r="D50" s="16">
        <f>Probabilidades!F21</f>
        <v>0.99</v>
      </c>
    </row>
    <row r="51" spans="1:4" x14ac:dyDescent="0.2">
      <c r="A51" s="22" t="s">
        <v>44</v>
      </c>
      <c r="B51" s="14" t="s">
        <v>79</v>
      </c>
      <c r="C51" s="15">
        <f>Probabilidades!D24</f>
        <v>1.1299999999999999</v>
      </c>
      <c r="D51" s="16">
        <f>Probabilidades!F24</f>
        <v>0.88500000000000001</v>
      </c>
    </row>
    <row r="52" spans="1:4" x14ac:dyDescent="0.2">
      <c r="A52" s="22" t="s">
        <v>50</v>
      </c>
      <c r="B52" s="14" t="s">
        <v>86</v>
      </c>
      <c r="C52" s="15">
        <f>Probabilidades!D29</f>
        <v>1.1200000000000001</v>
      </c>
      <c r="D52" s="16">
        <f>Probabilidades!F29</f>
        <v>0.96</v>
      </c>
    </row>
    <row r="53" spans="1:4" x14ac:dyDescent="0.2">
      <c r="A53" s="23" t="s">
        <v>111</v>
      </c>
      <c r="C53" s="24">
        <f>ROUND(PRODUCT(C48:C52),2)</f>
        <v>1.73</v>
      </c>
    </row>
    <row r="54" spans="1:4" x14ac:dyDescent="0.2">
      <c r="A54" s="23" t="s">
        <v>112</v>
      </c>
      <c r="C54" s="25">
        <f>PRODUCT(D48:D52)</f>
        <v>0.62645425919999997</v>
      </c>
    </row>
    <row r="55" spans="1:4" x14ac:dyDescent="0.2">
      <c r="A55" s="23" t="s">
        <v>113</v>
      </c>
      <c r="C55" s="26">
        <v>30</v>
      </c>
    </row>
    <row r="56" spans="1:4" x14ac:dyDescent="0.2">
      <c r="A56" s="23" t="s">
        <v>114</v>
      </c>
      <c r="C56" s="27">
        <f>C53*C55</f>
        <v>51.9</v>
      </c>
    </row>
    <row r="57" spans="1:4" x14ac:dyDescent="0.2">
      <c r="A57" s="23" t="s">
        <v>115</v>
      </c>
      <c r="C57" s="9">
        <f>C54*C56-C55</f>
        <v>2.5129760524799991</v>
      </c>
    </row>
    <row r="58" spans="1:4" x14ac:dyDescent="0.2">
      <c r="A58" s="23" t="s">
        <v>116</v>
      </c>
      <c r="C58" s="28" t="str">
        <f>IF(C57&gt;0,"SÍ ✓","no")</f>
        <v>SÍ ✓</v>
      </c>
    </row>
    <row r="60" spans="1:4" ht="16" x14ac:dyDescent="0.2">
      <c r="A60" s="1" t="s">
        <v>120</v>
      </c>
      <c r="B60" s="1"/>
      <c r="C60" s="1"/>
      <c r="D60" s="1"/>
    </row>
    <row r="61" spans="1:4" x14ac:dyDescent="0.2">
      <c r="A61" s="21" t="s">
        <v>22</v>
      </c>
      <c r="B61" s="21" t="s">
        <v>23</v>
      </c>
      <c r="C61" s="21" t="s">
        <v>24</v>
      </c>
      <c r="D61" s="21" t="s">
        <v>110</v>
      </c>
    </row>
    <row r="62" spans="1:4" x14ac:dyDescent="0.2">
      <c r="A62" s="22" t="s">
        <v>46</v>
      </c>
      <c r="B62" s="14" t="s">
        <v>47</v>
      </c>
      <c r="C62" s="15">
        <f>Probabilidades!D8</f>
        <v>1.19</v>
      </c>
      <c r="D62" s="16">
        <f>Probabilidades!F8</f>
        <v>0.77</v>
      </c>
    </row>
    <row r="63" spans="1:4" x14ac:dyDescent="0.2">
      <c r="A63" s="22" t="s">
        <v>77</v>
      </c>
      <c r="B63" s="14" t="s">
        <v>78</v>
      </c>
      <c r="C63" s="15">
        <f>Probabilidades!D23</f>
        <v>1.2</v>
      </c>
      <c r="D63" s="16">
        <f>Probabilidades!F23</f>
        <v>0.83330000000000004</v>
      </c>
    </row>
    <row r="64" spans="1:4" x14ac:dyDescent="0.2">
      <c r="A64" s="22" t="s">
        <v>83</v>
      </c>
      <c r="B64" s="14" t="s">
        <v>84</v>
      </c>
      <c r="C64" s="15">
        <f>Probabilidades!D27</f>
        <v>1.19</v>
      </c>
      <c r="D64" s="16">
        <f>Probabilidades!F27</f>
        <v>0.87</v>
      </c>
    </row>
    <row r="65" spans="1:4" x14ac:dyDescent="0.2">
      <c r="A65" s="22" t="s">
        <v>87</v>
      </c>
      <c r="B65" s="14" t="s">
        <v>88</v>
      </c>
      <c r="C65" s="15">
        <f>Probabilidades!D30</f>
        <v>1.18</v>
      </c>
      <c r="D65" s="16">
        <f>Probabilidades!F30</f>
        <v>0.71</v>
      </c>
    </row>
    <row r="66" spans="1:4" x14ac:dyDescent="0.2">
      <c r="A66" s="22" t="s">
        <v>55</v>
      </c>
      <c r="B66" s="14" t="s">
        <v>105</v>
      </c>
      <c r="C66" s="15">
        <f>Probabilidades!D42</f>
        <v>1.2</v>
      </c>
      <c r="D66" s="16">
        <f>Probabilidades!F42</f>
        <v>0.91</v>
      </c>
    </row>
    <row r="67" spans="1:4" x14ac:dyDescent="0.2">
      <c r="A67" s="23" t="s">
        <v>111</v>
      </c>
      <c r="C67" s="24">
        <f>ROUND(PRODUCT(C62:C66),2)</f>
        <v>2.41</v>
      </c>
    </row>
    <row r="68" spans="1:4" x14ac:dyDescent="0.2">
      <c r="A68" s="23" t="s">
        <v>112</v>
      </c>
      <c r="C68" s="25">
        <f>PRODUCT(D62:D66)</f>
        <v>0.36067089758700005</v>
      </c>
    </row>
    <row r="69" spans="1:4" x14ac:dyDescent="0.2">
      <c r="A69" s="23" t="s">
        <v>113</v>
      </c>
      <c r="C69" s="26">
        <v>30</v>
      </c>
    </row>
    <row r="70" spans="1:4" x14ac:dyDescent="0.2">
      <c r="A70" s="23" t="s">
        <v>114</v>
      </c>
      <c r="C70" s="27">
        <f>C67*C69</f>
        <v>72.300000000000011</v>
      </c>
    </row>
    <row r="71" spans="1:4" x14ac:dyDescent="0.2">
      <c r="A71" s="23" t="s">
        <v>115</v>
      </c>
      <c r="C71" s="9">
        <f>C68*C70-C69</f>
        <v>-3.9234941044598912</v>
      </c>
    </row>
    <row r="72" spans="1:4" x14ac:dyDescent="0.2">
      <c r="A72" s="23" t="s">
        <v>116</v>
      </c>
      <c r="C72" s="28" t="str">
        <f>IF(C71&gt;0,"SÍ ✓","no")</f>
        <v>no</v>
      </c>
    </row>
    <row r="74" spans="1:4" ht="16" x14ac:dyDescent="0.2">
      <c r="A74" s="1" t="s">
        <v>121</v>
      </c>
      <c r="B74" s="1"/>
      <c r="C74" s="1"/>
      <c r="D74" s="1"/>
    </row>
    <row r="75" spans="1:4" x14ac:dyDescent="0.2">
      <c r="A75" s="21" t="s">
        <v>22</v>
      </c>
      <c r="B75" s="21" t="s">
        <v>23</v>
      </c>
      <c r="C75" s="21" t="s">
        <v>24</v>
      </c>
      <c r="D75" s="21" t="s">
        <v>110</v>
      </c>
    </row>
    <row r="76" spans="1:4" x14ac:dyDescent="0.2">
      <c r="A76" s="29" t="s">
        <v>41</v>
      </c>
      <c r="B76" s="14" t="s">
        <v>42</v>
      </c>
      <c r="C76" s="15">
        <f>Probabilidades!D6</f>
        <v>1.05</v>
      </c>
      <c r="D76" s="16">
        <f>Probabilidades!F6</f>
        <v>0.98</v>
      </c>
    </row>
    <row r="77" spans="1:4" x14ac:dyDescent="0.2">
      <c r="A77" s="29" t="s">
        <v>44</v>
      </c>
      <c r="B77" s="14" t="s">
        <v>45</v>
      </c>
      <c r="C77" s="15">
        <f>Probabilidades!D7</f>
        <v>1.1000000000000001</v>
      </c>
      <c r="D77" s="16">
        <f>Probabilidades!F7</f>
        <v>0.98</v>
      </c>
    </row>
    <row r="78" spans="1:4" x14ac:dyDescent="0.2">
      <c r="A78" s="29" t="s">
        <v>46</v>
      </c>
      <c r="B78" s="14" t="s">
        <v>47</v>
      </c>
      <c r="C78" s="15">
        <f>Probabilidades!D8</f>
        <v>1.19</v>
      </c>
      <c r="D78" s="16">
        <f>Probabilidades!F8</f>
        <v>0.77</v>
      </c>
    </row>
    <row r="79" spans="1:4" x14ac:dyDescent="0.2">
      <c r="A79" s="29" t="s">
        <v>67</v>
      </c>
      <c r="B79" s="14" t="s">
        <v>68</v>
      </c>
      <c r="C79" s="15">
        <f>Probabilidades!D18</f>
        <v>1.17</v>
      </c>
      <c r="D79" s="16">
        <f>Probabilidades!F18</f>
        <v>0.76</v>
      </c>
    </row>
    <row r="80" spans="1:4" x14ac:dyDescent="0.2">
      <c r="A80" s="29" t="s">
        <v>73</v>
      </c>
      <c r="B80" s="14" t="s">
        <v>74</v>
      </c>
      <c r="C80" s="15">
        <f>Probabilidades!D21</f>
        <v>1.06</v>
      </c>
      <c r="D80" s="16">
        <f>Probabilidades!F21</f>
        <v>0.99</v>
      </c>
    </row>
    <row r="81" spans="1:4" x14ac:dyDescent="0.2">
      <c r="A81" s="29" t="s">
        <v>44</v>
      </c>
      <c r="B81" s="14" t="s">
        <v>79</v>
      </c>
      <c r="C81" s="15">
        <f>Probabilidades!D24</f>
        <v>1.1299999999999999</v>
      </c>
      <c r="D81" s="16">
        <f>Probabilidades!F24</f>
        <v>0.88500000000000001</v>
      </c>
    </row>
    <row r="82" spans="1:4" x14ac:dyDescent="0.2">
      <c r="A82" s="29" t="s">
        <v>83</v>
      </c>
      <c r="B82" s="14" t="s">
        <v>84</v>
      </c>
      <c r="C82" s="15">
        <f>Probabilidades!D27</f>
        <v>1.19</v>
      </c>
      <c r="D82" s="16">
        <f>Probabilidades!F27</f>
        <v>0.87</v>
      </c>
    </row>
    <row r="83" spans="1:4" x14ac:dyDescent="0.2">
      <c r="A83" s="29" t="s">
        <v>50</v>
      </c>
      <c r="B83" s="14" t="s">
        <v>86</v>
      </c>
      <c r="C83" s="15">
        <f>Probabilidades!D29</f>
        <v>1.1200000000000001</v>
      </c>
      <c r="D83" s="16">
        <f>Probabilidades!F29</f>
        <v>0.96</v>
      </c>
    </row>
    <row r="84" spans="1:4" x14ac:dyDescent="0.2">
      <c r="A84" s="29" t="s">
        <v>87</v>
      </c>
      <c r="B84" s="14" t="s">
        <v>88</v>
      </c>
      <c r="C84" s="15">
        <f>Probabilidades!D30</f>
        <v>1.18</v>
      </c>
      <c r="D84" s="16">
        <f>Probabilidades!F30</f>
        <v>0.71</v>
      </c>
    </row>
    <row r="85" spans="1:4" x14ac:dyDescent="0.2">
      <c r="A85" s="29" t="s">
        <v>90</v>
      </c>
      <c r="B85" s="14" t="s">
        <v>104</v>
      </c>
      <c r="C85" s="15">
        <f>Probabilidades!D41</f>
        <v>1.2</v>
      </c>
      <c r="D85" s="16">
        <f>Probabilidades!F41</f>
        <v>0.95</v>
      </c>
    </row>
    <row r="86" spans="1:4" x14ac:dyDescent="0.2">
      <c r="A86" s="23" t="s">
        <v>111</v>
      </c>
      <c r="C86" s="24">
        <f>ROUND(PRODUCT(C76:C85),2)</f>
        <v>3.64</v>
      </c>
    </row>
    <row r="87" spans="1:4" x14ac:dyDescent="0.2">
      <c r="A87" s="23" t="s">
        <v>112</v>
      </c>
      <c r="C87" s="25">
        <f>PRODUCT(D76:D85)</f>
        <v>0.27740058576245324</v>
      </c>
    </row>
    <row r="88" spans="1:4" x14ac:dyDescent="0.2">
      <c r="A88" s="23" t="s">
        <v>113</v>
      </c>
      <c r="C88" s="26">
        <v>15</v>
      </c>
    </row>
    <row r="89" spans="1:4" x14ac:dyDescent="0.2">
      <c r="A89" s="23" t="s">
        <v>114</v>
      </c>
      <c r="C89" s="27">
        <f>C86*C88</f>
        <v>54.6</v>
      </c>
    </row>
    <row r="90" spans="1:4" x14ac:dyDescent="0.2">
      <c r="A90" s="23" t="s">
        <v>115</v>
      </c>
      <c r="C90" s="9">
        <f>C87*C89-C88</f>
        <v>0.14607198262994814</v>
      </c>
    </row>
    <row r="91" spans="1:4" x14ac:dyDescent="0.2">
      <c r="A91" s="23" t="s">
        <v>116</v>
      </c>
      <c r="C91" s="28" t="str">
        <f>IF(C90&gt;0,"SÍ ✓","no")</f>
        <v>SÍ ✓</v>
      </c>
    </row>
    <row r="93" spans="1:4" ht="16" x14ac:dyDescent="0.2">
      <c r="A93" s="1" t="s">
        <v>122</v>
      </c>
      <c r="B93" s="1"/>
      <c r="C93" s="1"/>
      <c r="D93" s="1"/>
    </row>
    <row r="94" spans="1:4" x14ac:dyDescent="0.2">
      <c r="A94" s="21" t="s">
        <v>22</v>
      </c>
      <c r="B94" s="21" t="s">
        <v>23</v>
      </c>
      <c r="C94" s="21" t="s">
        <v>24</v>
      </c>
      <c r="D94" s="21" t="s">
        <v>110</v>
      </c>
    </row>
    <row r="95" spans="1:4" x14ac:dyDescent="0.2">
      <c r="A95" s="29" t="s">
        <v>32</v>
      </c>
      <c r="B95" s="14" t="s">
        <v>33</v>
      </c>
      <c r="C95" s="15">
        <f>Probabilidades!D3</f>
        <v>1.26</v>
      </c>
      <c r="D95" s="16">
        <f>Probabilidades!F3</f>
        <v>0.87</v>
      </c>
    </row>
    <row r="96" spans="1:4" x14ac:dyDescent="0.2">
      <c r="A96" s="29" t="s">
        <v>52</v>
      </c>
      <c r="B96" s="14" t="s">
        <v>53</v>
      </c>
      <c r="C96" s="15">
        <f>Probabilidades!D11</f>
        <v>1.23</v>
      </c>
      <c r="D96" s="16">
        <f>Probabilidades!F11</f>
        <v>0.87</v>
      </c>
    </row>
    <row r="97" spans="1:4" x14ac:dyDescent="0.2">
      <c r="A97" s="29" t="s">
        <v>65</v>
      </c>
      <c r="B97" s="14" t="s">
        <v>66</v>
      </c>
      <c r="C97" s="15">
        <f>Probabilidades!D17</f>
        <v>1.27</v>
      </c>
      <c r="D97" s="16">
        <f>Probabilidades!F17</f>
        <v>0.88</v>
      </c>
    </row>
    <row r="98" spans="1:4" x14ac:dyDescent="0.2">
      <c r="A98" s="29" t="s">
        <v>69</v>
      </c>
      <c r="B98" s="14" t="s">
        <v>70</v>
      </c>
      <c r="C98" s="15">
        <f>Probabilidades!D19</f>
        <v>1.22</v>
      </c>
      <c r="D98" s="16">
        <f>Probabilidades!F19</f>
        <v>0.68</v>
      </c>
    </row>
    <row r="99" spans="1:4" x14ac:dyDescent="0.2">
      <c r="A99" s="29" t="s">
        <v>75</v>
      </c>
      <c r="B99" s="14" t="s">
        <v>76</v>
      </c>
      <c r="C99" s="15">
        <f>Probabilidades!D22</f>
        <v>1.27</v>
      </c>
      <c r="D99" s="16">
        <f>Probabilidades!F22</f>
        <v>0.95</v>
      </c>
    </row>
    <row r="100" spans="1:4" x14ac:dyDescent="0.2">
      <c r="A100" s="29" t="s">
        <v>77</v>
      </c>
      <c r="B100" s="14" t="s">
        <v>78</v>
      </c>
      <c r="C100" s="15">
        <f>Probabilidades!D23</f>
        <v>1.2</v>
      </c>
      <c r="D100" s="16">
        <f>Probabilidades!F23</f>
        <v>0.83330000000000004</v>
      </c>
    </row>
    <row r="101" spans="1:4" x14ac:dyDescent="0.2">
      <c r="A101" s="29" t="s">
        <v>59</v>
      </c>
      <c r="B101" s="14" t="s">
        <v>89</v>
      </c>
      <c r="C101" s="15">
        <f>Probabilidades!D31</f>
        <v>1.27</v>
      </c>
      <c r="D101" s="16">
        <f>Probabilidades!F31</f>
        <v>0.95</v>
      </c>
    </row>
    <row r="102" spans="1:4" x14ac:dyDescent="0.2">
      <c r="A102" s="29" t="s">
        <v>71</v>
      </c>
      <c r="B102" s="14" t="s">
        <v>96</v>
      </c>
      <c r="C102" s="15">
        <f>Probabilidades!D36</f>
        <v>1.26</v>
      </c>
      <c r="D102" s="16">
        <f>Probabilidades!F36</f>
        <v>0.93</v>
      </c>
    </row>
    <row r="103" spans="1:4" x14ac:dyDescent="0.2">
      <c r="A103" s="29" t="s">
        <v>97</v>
      </c>
      <c r="B103" s="14" t="s">
        <v>98</v>
      </c>
      <c r="C103" s="15">
        <f>Probabilidades!D37</f>
        <v>1.27</v>
      </c>
      <c r="D103" s="16">
        <f>Probabilidades!F37</f>
        <v>0.8</v>
      </c>
    </row>
    <row r="104" spans="1:4" x14ac:dyDescent="0.2">
      <c r="A104" s="29" t="s">
        <v>55</v>
      </c>
      <c r="B104" s="14" t="s">
        <v>105</v>
      </c>
      <c r="C104" s="15">
        <f>Probabilidades!D42</f>
        <v>1.2</v>
      </c>
      <c r="D104" s="16">
        <f>Probabilidades!F42</f>
        <v>0.91</v>
      </c>
    </row>
    <row r="105" spans="1:4" x14ac:dyDescent="0.2">
      <c r="A105" s="23" t="s">
        <v>111</v>
      </c>
      <c r="C105" s="24">
        <f>ROUND(PRODUCT(C95:C104),2)</f>
        <v>8.92</v>
      </c>
    </row>
    <row r="106" spans="1:4" x14ac:dyDescent="0.2">
      <c r="A106" s="23" t="s">
        <v>112</v>
      </c>
      <c r="C106" s="25">
        <f>PRODUCT(D95:D104)</f>
        <v>0.23061789852193576</v>
      </c>
    </row>
    <row r="107" spans="1:4" x14ac:dyDescent="0.2">
      <c r="A107" s="23" t="s">
        <v>113</v>
      </c>
      <c r="C107" s="26">
        <v>15</v>
      </c>
    </row>
    <row r="108" spans="1:4" x14ac:dyDescent="0.2">
      <c r="A108" s="23" t="s">
        <v>114</v>
      </c>
      <c r="C108" s="27">
        <f>C105*C107</f>
        <v>133.80000000000001</v>
      </c>
    </row>
    <row r="109" spans="1:4" x14ac:dyDescent="0.2">
      <c r="A109" s="23" t="s">
        <v>115</v>
      </c>
      <c r="C109" s="9">
        <f>C106*C108-C107</f>
        <v>15.856674822235007</v>
      </c>
    </row>
    <row r="110" spans="1:4" x14ac:dyDescent="0.2">
      <c r="A110" s="23" t="s">
        <v>116</v>
      </c>
      <c r="C110" s="28" t="str">
        <f>IF(C109&gt;0,"SÍ ✓","no")</f>
        <v>SÍ ✓</v>
      </c>
    </row>
    <row r="112" spans="1:4" ht="16" x14ac:dyDescent="0.2">
      <c r="A112" s="1" t="s">
        <v>123</v>
      </c>
      <c r="B112" s="1"/>
      <c r="C112" s="1"/>
      <c r="D112" s="1"/>
    </row>
    <row r="113" spans="1:4" x14ac:dyDescent="0.2">
      <c r="A113" s="21" t="s">
        <v>22</v>
      </c>
      <c r="B113" s="21" t="s">
        <v>23</v>
      </c>
      <c r="C113" s="21" t="s">
        <v>24</v>
      </c>
      <c r="D113" s="21" t="s">
        <v>110</v>
      </c>
    </row>
    <row r="114" spans="1:4" x14ac:dyDescent="0.2">
      <c r="A114" s="29" t="s">
        <v>29</v>
      </c>
      <c r="B114" s="14" t="s">
        <v>30</v>
      </c>
      <c r="C114" s="15">
        <f>Probabilidades!D2</f>
        <v>1.45</v>
      </c>
      <c r="D114" s="16">
        <f>Probabilidades!F2</f>
        <v>0.75</v>
      </c>
    </row>
    <row r="115" spans="1:4" x14ac:dyDescent="0.2">
      <c r="A115" s="29" t="s">
        <v>55</v>
      </c>
      <c r="B115" s="14" t="s">
        <v>56</v>
      </c>
      <c r="C115" s="15">
        <f>Probabilidades!D12</f>
        <v>1.42</v>
      </c>
      <c r="D115" s="16">
        <f>Probabilidades!F12</f>
        <v>0.68</v>
      </c>
    </row>
    <row r="116" spans="1:4" x14ac:dyDescent="0.2">
      <c r="A116" s="29" t="s">
        <v>57</v>
      </c>
      <c r="B116" s="14" t="s">
        <v>58</v>
      </c>
      <c r="C116" s="15">
        <f>Probabilidades!D13</f>
        <v>1.34</v>
      </c>
      <c r="D116" s="16">
        <f>Probabilidades!F13</f>
        <v>0.82</v>
      </c>
    </row>
    <row r="117" spans="1:4" x14ac:dyDescent="0.2">
      <c r="A117" s="29" t="s">
        <v>59</v>
      </c>
      <c r="B117" s="14" t="s">
        <v>60</v>
      </c>
      <c r="C117" s="15">
        <f>Probabilidades!D14</f>
        <v>1.28</v>
      </c>
      <c r="D117" s="16">
        <f>Probabilidades!F14</f>
        <v>0.85</v>
      </c>
    </row>
    <row r="118" spans="1:4" x14ac:dyDescent="0.2">
      <c r="A118" s="29" t="s">
        <v>61</v>
      </c>
      <c r="B118" s="14" t="s">
        <v>62</v>
      </c>
      <c r="C118" s="15">
        <f>Probabilidades!D15</f>
        <v>1.29</v>
      </c>
      <c r="D118" s="16">
        <f>Probabilidades!F15</f>
        <v>0.8</v>
      </c>
    </row>
    <row r="119" spans="1:4" x14ac:dyDescent="0.2">
      <c r="A119" s="29" t="s">
        <v>63</v>
      </c>
      <c r="B119" s="14" t="s">
        <v>64</v>
      </c>
      <c r="C119" s="15">
        <f>Probabilidades!D16</f>
        <v>1.42</v>
      </c>
      <c r="D119" s="16">
        <f>Probabilidades!F16</f>
        <v>0.92</v>
      </c>
    </row>
    <row r="120" spans="1:4" x14ac:dyDescent="0.2">
      <c r="A120" s="29" t="s">
        <v>90</v>
      </c>
      <c r="B120" s="14" t="s">
        <v>91</v>
      </c>
      <c r="C120" s="15">
        <f>Probabilidades!D32</f>
        <v>1.32</v>
      </c>
      <c r="D120" s="16">
        <f>Probabilidades!F32</f>
        <v>0.82</v>
      </c>
    </row>
    <row r="121" spans="1:4" x14ac:dyDescent="0.2">
      <c r="A121" s="29" t="s">
        <v>73</v>
      </c>
      <c r="B121" s="14" t="s">
        <v>95</v>
      </c>
      <c r="C121" s="15">
        <f>Probabilidades!D35</f>
        <v>1.4</v>
      </c>
      <c r="D121" s="16">
        <f>Probabilidades!F35</f>
        <v>0.92</v>
      </c>
    </row>
    <row r="122" spans="1:4" x14ac:dyDescent="0.2">
      <c r="A122" s="29" t="s">
        <v>99</v>
      </c>
      <c r="B122" s="14" t="s">
        <v>100</v>
      </c>
      <c r="C122" s="15">
        <f>Probabilidades!D38</f>
        <v>1.34</v>
      </c>
      <c r="D122" s="16">
        <f>Probabilidades!F38</f>
        <v>0.84</v>
      </c>
    </row>
    <row r="123" spans="1:4" x14ac:dyDescent="0.2">
      <c r="A123" s="29" t="s">
        <v>80</v>
      </c>
      <c r="B123" s="14" t="s">
        <v>103</v>
      </c>
      <c r="C123" s="15">
        <f>Probabilidades!D40</f>
        <v>1.3</v>
      </c>
      <c r="D123" s="16">
        <f>Probabilidades!F40</f>
        <v>0.86</v>
      </c>
    </row>
    <row r="124" spans="1:4" x14ac:dyDescent="0.2">
      <c r="A124" s="23" t="s">
        <v>111</v>
      </c>
      <c r="C124" s="24">
        <f>ROUND(PRODUCT(C114:C123),2)</f>
        <v>20.83</v>
      </c>
    </row>
    <row r="125" spans="1:4" x14ac:dyDescent="0.2">
      <c r="A125" s="23" t="s">
        <v>112</v>
      </c>
      <c r="C125" s="25">
        <f>PRODUCT(D114:D123)</f>
        <v>0.14258051714027517</v>
      </c>
    </row>
    <row r="126" spans="1:4" x14ac:dyDescent="0.2">
      <c r="A126" s="23" t="s">
        <v>113</v>
      </c>
      <c r="C126" s="26">
        <v>15</v>
      </c>
    </row>
    <row r="127" spans="1:4" x14ac:dyDescent="0.2">
      <c r="A127" s="23" t="s">
        <v>114</v>
      </c>
      <c r="C127" s="27">
        <f>C124*C126</f>
        <v>312.45</v>
      </c>
    </row>
    <row r="128" spans="1:4" x14ac:dyDescent="0.2">
      <c r="A128" s="23" t="s">
        <v>115</v>
      </c>
      <c r="C128" s="9">
        <f>C125*C127-C126</f>
        <v>29.549282580478973</v>
      </c>
    </row>
    <row r="129" spans="1:4" x14ac:dyDescent="0.2">
      <c r="A129" s="23" t="s">
        <v>116</v>
      </c>
      <c r="C129" s="28" t="str">
        <f>IF(C128&gt;0,"SÍ ✓","no")</f>
        <v>SÍ ✓</v>
      </c>
    </row>
    <row r="131" spans="1:4" ht="16" x14ac:dyDescent="0.2">
      <c r="A131" s="1" t="s">
        <v>124</v>
      </c>
      <c r="B131" s="1"/>
      <c r="C131" s="1"/>
      <c r="D131" s="1"/>
    </row>
    <row r="132" spans="1:4" x14ac:dyDescent="0.2">
      <c r="A132" s="21" t="s">
        <v>22</v>
      </c>
      <c r="B132" s="21" t="s">
        <v>23</v>
      </c>
      <c r="C132" s="21" t="s">
        <v>24</v>
      </c>
      <c r="D132" s="21" t="s">
        <v>110</v>
      </c>
    </row>
    <row r="133" spans="1:4" x14ac:dyDescent="0.2">
      <c r="A133" s="29" t="s">
        <v>41</v>
      </c>
      <c r="B133" s="14" t="s">
        <v>42</v>
      </c>
      <c r="C133" s="15">
        <f>Probabilidades!D6</f>
        <v>1.05</v>
      </c>
      <c r="D133" s="16">
        <f>Probabilidades!F6</f>
        <v>0.98</v>
      </c>
    </row>
    <row r="134" spans="1:4" x14ac:dyDescent="0.2">
      <c r="A134" s="29" t="s">
        <v>44</v>
      </c>
      <c r="B134" s="14" t="s">
        <v>45</v>
      </c>
      <c r="C134" s="15">
        <f>Probabilidades!D7</f>
        <v>1.1000000000000001</v>
      </c>
      <c r="D134" s="16">
        <f>Probabilidades!F7</f>
        <v>0.98</v>
      </c>
    </row>
    <row r="135" spans="1:4" x14ac:dyDescent="0.2">
      <c r="A135" s="29" t="s">
        <v>46</v>
      </c>
      <c r="B135" s="14" t="s">
        <v>47</v>
      </c>
      <c r="C135" s="15">
        <f>Probabilidades!D8</f>
        <v>1.19</v>
      </c>
      <c r="D135" s="16">
        <f>Probabilidades!F8</f>
        <v>0.77</v>
      </c>
    </row>
    <row r="136" spans="1:4" x14ac:dyDescent="0.2">
      <c r="A136" s="29" t="s">
        <v>67</v>
      </c>
      <c r="B136" s="14" t="s">
        <v>68</v>
      </c>
      <c r="C136" s="15">
        <f>Probabilidades!D18</f>
        <v>1.17</v>
      </c>
      <c r="D136" s="16">
        <f>Probabilidades!F18</f>
        <v>0.76</v>
      </c>
    </row>
    <row r="137" spans="1:4" x14ac:dyDescent="0.2">
      <c r="A137" s="29" t="s">
        <v>73</v>
      </c>
      <c r="B137" s="14" t="s">
        <v>74</v>
      </c>
      <c r="C137" s="15">
        <f>Probabilidades!D21</f>
        <v>1.06</v>
      </c>
      <c r="D137" s="16">
        <f>Probabilidades!F21</f>
        <v>0.99</v>
      </c>
    </row>
    <row r="138" spans="1:4" x14ac:dyDescent="0.2">
      <c r="A138" s="29" t="s">
        <v>44</v>
      </c>
      <c r="B138" s="14" t="s">
        <v>79</v>
      </c>
      <c r="C138" s="15">
        <f>Probabilidades!D24</f>
        <v>1.1299999999999999</v>
      </c>
      <c r="D138" s="16">
        <f>Probabilidades!F24</f>
        <v>0.88500000000000001</v>
      </c>
    </row>
    <row r="139" spans="1:4" x14ac:dyDescent="0.2">
      <c r="A139" s="29" t="s">
        <v>83</v>
      </c>
      <c r="B139" s="14" t="s">
        <v>84</v>
      </c>
      <c r="C139" s="15">
        <f>Probabilidades!D27</f>
        <v>1.19</v>
      </c>
      <c r="D139" s="16">
        <f>Probabilidades!F27</f>
        <v>0.87</v>
      </c>
    </row>
    <row r="140" spans="1:4" x14ac:dyDescent="0.2">
      <c r="A140" s="29" t="s">
        <v>50</v>
      </c>
      <c r="B140" s="14" t="s">
        <v>86</v>
      </c>
      <c r="C140" s="15">
        <f>Probabilidades!D29</f>
        <v>1.1200000000000001</v>
      </c>
      <c r="D140" s="16">
        <f>Probabilidades!F29</f>
        <v>0.96</v>
      </c>
    </row>
    <row r="141" spans="1:4" x14ac:dyDescent="0.2">
      <c r="A141" s="29" t="s">
        <v>87</v>
      </c>
      <c r="B141" s="14" t="s">
        <v>88</v>
      </c>
      <c r="C141" s="15">
        <f>Probabilidades!D30</f>
        <v>1.18</v>
      </c>
      <c r="D141" s="16">
        <f>Probabilidades!F30</f>
        <v>0.71</v>
      </c>
    </row>
    <row r="142" spans="1:4" x14ac:dyDescent="0.2">
      <c r="A142" s="29" t="s">
        <v>55</v>
      </c>
      <c r="B142" s="14" t="s">
        <v>105</v>
      </c>
      <c r="C142" s="15">
        <f>Probabilidades!D42</f>
        <v>1.2</v>
      </c>
      <c r="D142" s="16">
        <f>Probabilidades!F42</f>
        <v>0.91</v>
      </c>
    </row>
    <row r="143" spans="1:4" x14ac:dyDescent="0.2">
      <c r="A143" s="23" t="s">
        <v>111</v>
      </c>
      <c r="C143" s="24">
        <f>ROUND(PRODUCT(C133:C142),2)</f>
        <v>3.64</v>
      </c>
    </row>
    <row r="144" spans="1:4" x14ac:dyDescent="0.2">
      <c r="A144" s="23" t="s">
        <v>112</v>
      </c>
      <c r="C144" s="25">
        <f>PRODUCT(D133:D142)</f>
        <v>0.26572056109877101</v>
      </c>
    </row>
    <row r="145" spans="1:4" x14ac:dyDescent="0.2">
      <c r="A145" s="23" t="s">
        <v>113</v>
      </c>
      <c r="C145" s="26">
        <v>15</v>
      </c>
    </row>
    <row r="146" spans="1:4" x14ac:dyDescent="0.2">
      <c r="A146" s="23" t="s">
        <v>114</v>
      </c>
      <c r="C146" s="27">
        <f>C143*C145</f>
        <v>54.6</v>
      </c>
    </row>
    <row r="147" spans="1:4" x14ac:dyDescent="0.2">
      <c r="A147" s="23" t="s">
        <v>115</v>
      </c>
      <c r="C147" s="9">
        <f>C144*C146-C145</f>
        <v>-0.4916573640071018</v>
      </c>
    </row>
    <row r="148" spans="1:4" x14ac:dyDescent="0.2">
      <c r="A148" s="23" t="s">
        <v>116</v>
      </c>
      <c r="C148" s="28" t="str">
        <f>IF(C147&gt;0,"SÍ ✓","no")</f>
        <v>no</v>
      </c>
    </row>
    <row r="150" spans="1:4" ht="16" x14ac:dyDescent="0.2">
      <c r="A150" s="1" t="s">
        <v>125</v>
      </c>
      <c r="B150" s="1"/>
      <c r="C150" s="1"/>
      <c r="D150" s="1"/>
    </row>
    <row r="151" spans="1:4" x14ac:dyDescent="0.2">
      <c r="A151" s="21" t="s">
        <v>22</v>
      </c>
      <c r="B151" s="21" t="s">
        <v>23</v>
      </c>
      <c r="C151" s="21" t="s">
        <v>24</v>
      </c>
      <c r="D151" s="21" t="s">
        <v>110</v>
      </c>
    </row>
    <row r="152" spans="1:4" x14ac:dyDescent="0.2">
      <c r="A152" s="29" t="s">
        <v>32</v>
      </c>
      <c r="B152" s="14" t="s">
        <v>33</v>
      </c>
      <c r="C152" s="15">
        <f>Probabilidades!D3</f>
        <v>1.26</v>
      </c>
      <c r="D152" s="16">
        <f>Probabilidades!F3</f>
        <v>0.87</v>
      </c>
    </row>
    <row r="153" spans="1:4" x14ac:dyDescent="0.2">
      <c r="A153" s="29" t="s">
        <v>52</v>
      </c>
      <c r="B153" s="14" t="s">
        <v>53</v>
      </c>
      <c r="C153" s="15">
        <f>Probabilidades!D11</f>
        <v>1.23</v>
      </c>
      <c r="D153" s="16">
        <f>Probabilidades!F11</f>
        <v>0.87</v>
      </c>
    </row>
    <row r="154" spans="1:4" x14ac:dyDescent="0.2">
      <c r="A154" s="29" t="s">
        <v>65</v>
      </c>
      <c r="B154" s="14" t="s">
        <v>66</v>
      </c>
      <c r="C154" s="15">
        <f>Probabilidades!D17</f>
        <v>1.27</v>
      </c>
      <c r="D154" s="16">
        <f>Probabilidades!F17</f>
        <v>0.88</v>
      </c>
    </row>
    <row r="155" spans="1:4" x14ac:dyDescent="0.2">
      <c r="A155" s="29" t="s">
        <v>69</v>
      </c>
      <c r="B155" s="14" t="s">
        <v>70</v>
      </c>
      <c r="C155" s="15">
        <f>Probabilidades!D19</f>
        <v>1.22</v>
      </c>
      <c r="D155" s="16">
        <f>Probabilidades!F19</f>
        <v>0.68</v>
      </c>
    </row>
    <row r="156" spans="1:4" x14ac:dyDescent="0.2">
      <c r="A156" s="29" t="s">
        <v>75</v>
      </c>
      <c r="B156" s="14" t="s">
        <v>76</v>
      </c>
      <c r="C156" s="15">
        <f>Probabilidades!D22</f>
        <v>1.27</v>
      </c>
      <c r="D156" s="16">
        <f>Probabilidades!F22</f>
        <v>0.95</v>
      </c>
    </row>
    <row r="157" spans="1:4" x14ac:dyDescent="0.2">
      <c r="A157" s="29" t="s">
        <v>77</v>
      </c>
      <c r="B157" s="14" t="s">
        <v>78</v>
      </c>
      <c r="C157" s="15">
        <f>Probabilidades!D23</f>
        <v>1.2</v>
      </c>
      <c r="D157" s="16">
        <f>Probabilidades!F23</f>
        <v>0.83330000000000004</v>
      </c>
    </row>
    <row r="158" spans="1:4" x14ac:dyDescent="0.2">
      <c r="A158" s="29" t="s">
        <v>59</v>
      </c>
      <c r="B158" s="14" t="s">
        <v>89</v>
      </c>
      <c r="C158" s="15">
        <f>Probabilidades!D31</f>
        <v>1.27</v>
      </c>
      <c r="D158" s="16">
        <f>Probabilidades!F31</f>
        <v>0.95</v>
      </c>
    </row>
    <row r="159" spans="1:4" x14ac:dyDescent="0.2">
      <c r="A159" s="29" t="s">
        <v>71</v>
      </c>
      <c r="B159" s="14" t="s">
        <v>96</v>
      </c>
      <c r="C159" s="15">
        <f>Probabilidades!D36</f>
        <v>1.26</v>
      </c>
      <c r="D159" s="16">
        <f>Probabilidades!F36</f>
        <v>0.93</v>
      </c>
    </row>
    <row r="160" spans="1:4" x14ac:dyDescent="0.2">
      <c r="A160" s="29" t="s">
        <v>97</v>
      </c>
      <c r="B160" s="14" t="s">
        <v>98</v>
      </c>
      <c r="C160" s="15">
        <f>Probabilidades!D37</f>
        <v>1.27</v>
      </c>
      <c r="D160" s="16">
        <f>Probabilidades!F37</f>
        <v>0.8</v>
      </c>
    </row>
    <row r="161" spans="1:4" x14ac:dyDescent="0.2">
      <c r="A161" s="29" t="s">
        <v>90</v>
      </c>
      <c r="B161" s="14" t="s">
        <v>104</v>
      </c>
      <c r="C161" s="15">
        <f>Probabilidades!D41</f>
        <v>1.2</v>
      </c>
      <c r="D161" s="16">
        <f>Probabilidades!F41</f>
        <v>0.95</v>
      </c>
    </row>
    <row r="162" spans="1:4" x14ac:dyDescent="0.2">
      <c r="A162" s="23" t="s">
        <v>111</v>
      </c>
      <c r="C162" s="24">
        <f>ROUND(PRODUCT(C152:C161),2)</f>
        <v>8.92</v>
      </c>
    </row>
    <row r="163" spans="1:4" x14ac:dyDescent="0.2">
      <c r="A163" s="23" t="s">
        <v>112</v>
      </c>
      <c r="C163" s="25">
        <f>PRODUCT(D152:D161)</f>
        <v>0.24075494900641642</v>
      </c>
    </row>
    <row r="164" spans="1:4" x14ac:dyDescent="0.2">
      <c r="A164" s="23" t="s">
        <v>113</v>
      </c>
      <c r="C164" s="26">
        <v>15</v>
      </c>
    </row>
    <row r="165" spans="1:4" x14ac:dyDescent="0.2">
      <c r="A165" s="23" t="s">
        <v>114</v>
      </c>
      <c r="C165" s="27">
        <f>C162*C164</f>
        <v>133.80000000000001</v>
      </c>
    </row>
    <row r="166" spans="1:4" x14ac:dyDescent="0.2">
      <c r="A166" s="23" t="s">
        <v>115</v>
      </c>
      <c r="C166" s="9">
        <f>C163*C165-C164</f>
        <v>17.213012177058516</v>
      </c>
    </row>
    <row r="167" spans="1:4" x14ac:dyDescent="0.2">
      <c r="A167" s="23" t="s">
        <v>116</v>
      </c>
      <c r="C167" s="28" t="str">
        <f>IF(C166&gt;0,"SÍ ✓","no")</f>
        <v>SÍ ✓</v>
      </c>
    </row>
    <row r="169" spans="1:4" ht="16" x14ac:dyDescent="0.2">
      <c r="A169" s="1" t="s">
        <v>126</v>
      </c>
      <c r="B169" s="1"/>
      <c r="C169" s="1"/>
      <c r="D169" s="1"/>
    </row>
    <row r="170" spans="1:4" x14ac:dyDescent="0.2">
      <c r="A170" s="21" t="s">
        <v>22</v>
      </c>
      <c r="B170" s="21" t="s">
        <v>23</v>
      </c>
      <c r="C170" s="21" t="s">
        <v>24</v>
      </c>
      <c r="D170" s="21" t="s">
        <v>110</v>
      </c>
    </row>
    <row r="171" spans="1:4" x14ac:dyDescent="0.2">
      <c r="A171" s="30" t="s">
        <v>32</v>
      </c>
      <c r="B171" s="14" t="s">
        <v>33</v>
      </c>
      <c r="C171" s="15">
        <f>Probabilidades!D3</f>
        <v>1.26</v>
      </c>
      <c r="D171" s="16">
        <f>Probabilidades!F3</f>
        <v>0.87</v>
      </c>
    </row>
    <row r="172" spans="1:4" x14ac:dyDescent="0.2">
      <c r="A172" s="30" t="s">
        <v>41</v>
      </c>
      <c r="B172" s="14" t="s">
        <v>42</v>
      </c>
      <c r="C172" s="15">
        <f>Probabilidades!D6</f>
        <v>1.05</v>
      </c>
      <c r="D172" s="16">
        <f>Probabilidades!F6</f>
        <v>0.98</v>
      </c>
    </row>
    <row r="173" spans="1:4" x14ac:dyDescent="0.2">
      <c r="A173" s="30" t="s">
        <v>44</v>
      </c>
      <c r="B173" s="14" t="s">
        <v>45</v>
      </c>
      <c r="C173" s="15">
        <f>Probabilidades!D7</f>
        <v>1.1000000000000001</v>
      </c>
      <c r="D173" s="16">
        <f>Probabilidades!F7</f>
        <v>0.98</v>
      </c>
    </row>
    <row r="174" spans="1:4" x14ac:dyDescent="0.2">
      <c r="A174" s="30" t="s">
        <v>46</v>
      </c>
      <c r="B174" s="14" t="s">
        <v>47</v>
      </c>
      <c r="C174" s="15">
        <f>Probabilidades!D8</f>
        <v>1.19</v>
      </c>
      <c r="D174" s="16">
        <f>Probabilidades!F8</f>
        <v>0.77</v>
      </c>
    </row>
    <row r="175" spans="1:4" x14ac:dyDescent="0.2">
      <c r="A175" s="30" t="s">
        <v>52</v>
      </c>
      <c r="B175" s="14" t="s">
        <v>53</v>
      </c>
      <c r="C175" s="15">
        <f>Probabilidades!D11</f>
        <v>1.23</v>
      </c>
      <c r="D175" s="16">
        <f>Probabilidades!F11</f>
        <v>0.87</v>
      </c>
    </row>
    <row r="176" spans="1:4" x14ac:dyDescent="0.2">
      <c r="A176" s="30" t="s">
        <v>65</v>
      </c>
      <c r="B176" s="14" t="s">
        <v>66</v>
      </c>
      <c r="C176" s="15">
        <f>Probabilidades!D17</f>
        <v>1.27</v>
      </c>
      <c r="D176" s="16">
        <f>Probabilidades!F17</f>
        <v>0.88</v>
      </c>
    </row>
    <row r="177" spans="1:4" x14ac:dyDescent="0.2">
      <c r="A177" s="30" t="s">
        <v>67</v>
      </c>
      <c r="B177" s="14" t="s">
        <v>68</v>
      </c>
      <c r="C177" s="15">
        <f>Probabilidades!D18</f>
        <v>1.17</v>
      </c>
      <c r="D177" s="16">
        <f>Probabilidades!F18</f>
        <v>0.76</v>
      </c>
    </row>
    <row r="178" spans="1:4" x14ac:dyDescent="0.2">
      <c r="A178" s="30" t="s">
        <v>69</v>
      </c>
      <c r="B178" s="14" t="s">
        <v>70</v>
      </c>
      <c r="C178" s="15">
        <f>Probabilidades!D19</f>
        <v>1.22</v>
      </c>
      <c r="D178" s="16">
        <f>Probabilidades!F19</f>
        <v>0.68</v>
      </c>
    </row>
    <row r="179" spans="1:4" x14ac:dyDescent="0.2">
      <c r="A179" s="30" t="s">
        <v>73</v>
      </c>
      <c r="B179" s="14" t="s">
        <v>74</v>
      </c>
      <c r="C179" s="15">
        <f>Probabilidades!D21</f>
        <v>1.06</v>
      </c>
      <c r="D179" s="16">
        <f>Probabilidades!F21</f>
        <v>0.99</v>
      </c>
    </row>
    <row r="180" spans="1:4" x14ac:dyDescent="0.2">
      <c r="A180" s="30" t="s">
        <v>75</v>
      </c>
      <c r="B180" s="14" t="s">
        <v>76</v>
      </c>
      <c r="C180" s="15">
        <f>Probabilidades!D22</f>
        <v>1.27</v>
      </c>
      <c r="D180" s="16">
        <f>Probabilidades!F22</f>
        <v>0.95</v>
      </c>
    </row>
    <row r="181" spans="1:4" x14ac:dyDescent="0.2">
      <c r="A181" s="30" t="s">
        <v>77</v>
      </c>
      <c r="B181" s="14" t="s">
        <v>78</v>
      </c>
      <c r="C181" s="15">
        <f>Probabilidades!D23</f>
        <v>1.2</v>
      </c>
      <c r="D181" s="16">
        <f>Probabilidades!F23</f>
        <v>0.83330000000000004</v>
      </c>
    </row>
    <row r="182" spans="1:4" x14ac:dyDescent="0.2">
      <c r="A182" s="30" t="s">
        <v>44</v>
      </c>
      <c r="B182" s="14" t="s">
        <v>79</v>
      </c>
      <c r="C182" s="15">
        <f>Probabilidades!D24</f>
        <v>1.1299999999999999</v>
      </c>
      <c r="D182" s="16">
        <f>Probabilidades!F24</f>
        <v>0.88500000000000001</v>
      </c>
    </row>
    <row r="183" spans="1:4" x14ac:dyDescent="0.2">
      <c r="A183" s="30" t="s">
        <v>83</v>
      </c>
      <c r="B183" s="14" t="s">
        <v>84</v>
      </c>
      <c r="C183" s="15">
        <f>Probabilidades!D27</f>
        <v>1.19</v>
      </c>
      <c r="D183" s="16">
        <f>Probabilidades!F27</f>
        <v>0.87</v>
      </c>
    </row>
    <row r="184" spans="1:4" x14ac:dyDescent="0.2">
      <c r="A184" s="30" t="s">
        <v>50</v>
      </c>
      <c r="B184" s="14" t="s">
        <v>86</v>
      </c>
      <c r="C184" s="15">
        <f>Probabilidades!D29</f>
        <v>1.1200000000000001</v>
      </c>
      <c r="D184" s="16">
        <f>Probabilidades!F29</f>
        <v>0.96</v>
      </c>
    </row>
    <row r="185" spans="1:4" x14ac:dyDescent="0.2">
      <c r="A185" s="30" t="s">
        <v>87</v>
      </c>
      <c r="B185" s="14" t="s">
        <v>88</v>
      </c>
      <c r="C185" s="15">
        <f>Probabilidades!D30</f>
        <v>1.18</v>
      </c>
      <c r="D185" s="16">
        <f>Probabilidades!F30</f>
        <v>0.71</v>
      </c>
    </row>
    <row r="186" spans="1:4" x14ac:dyDescent="0.2">
      <c r="A186" s="30" t="s">
        <v>59</v>
      </c>
      <c r="B186" s="14" t="s">
        <v>89</v>
      </c>
      <c r="C186" s="15">
        <f>Probabilidades!D31</f>
        <v>1.27</v>
      </c>
      <c r="D186" s="16">
        <f>Probabilidades!F31</f>
        <v>0.95</v>
      </c>
    </row>
    <row r="187" spans="1:4" x14ac:dyDescent="0.2">
      <c r="A187" s="30" t="s">
        <v>71</v>
      </c>
      <c r="B187" s="14" t="s">
        <v>96</v>
      </c>
      <c r="C187" s="15">
        <f>Probabilidades!D36</f>
        <v>1.26</v>
      </c>
      <c r="D187" s="16">
        <f>Probabilidades!F36</f>
        <v>0.93</v>
      </c>
    </row>
    <row r="188" spans="1:4" x14ac:dyDescent="0.2">
      <c r="A188" s="30" t="s">
        <v>97</v>
      </c>
      <c r="B188" s="14" t="s">
        <v>98</v>
      </c>
      <c r="C188" s="15">
        <f>Probabilidades!D37</f>
        <v>1.27</v>
      </c>
      <c r="D188" s="16">
        <f>Probabilidades!F37</f>
        <v>0.8</v>
      </c>
    </row>
    <row r="189" spans="1:4" x14ac:dyDescent="0.2">
      <c r="A189" s="30" t="s">
        <v>90</v>
      </c>
      <c r="B189" s="14" t="s">
        <v>104</v>
      </c>
      <c r="C189" s="15">
        <f>Probabilidades!D41</f>
        <v>1.2</v>
      </c>
      <c r="D189" s="16">
        <f>Probabilidades!F41</f>
        <v>0.95</v>
      </c>
    </row>
    <row r="190" spans="1:4" x14ac:dyDescent="0.2">
      <c r="A190" s="30" t="s">
        <v>55</v>
      </c>
      <c r="B190" s="14" t="s">
        <v>105</v>
      </c>
      <c r="C190" s="15">
        <f>Probabilidades!D42</f>
        <v>1.2</v>
      </c>
      <c r="D190" s="16">
        <f>Probabilidades!F42</f>
        <v>0.91</v>
      </c>
    </row>
    <row r="191" spans="1:4" x14ac:dyDescent="0.2">
      <c r="A191" s="23" t="s">
        <v>111</v>
      </c>
      <c r="C191" s="24">
        <f>ROUND(PRODUCT(C171:C190),2)</f>
        <v>32.44</v>
      </c>
    </row>
    <row r="192" spans="1:4" x14ac:dyDescent="0.2">
      <c r="A192" s="23" t="s">
        <v>112</v>
      </c>
      <c r="C192" s="25">
        <f>PRODUCT(D171:D190)</f>
        <v>6.397354013729098E-2</v>
      </c>
    </row>
    <row r="193" spans="1:4" x14ac:dyDescent="0.2">
      <c r="A193" s="23" t="s">
        <v>113</v>
      </c>
      <c r="C193" s="26">
        <v>5</v>
      </c>
    </row>
    <row r="194" spans="1:4" x14ac:dyDescent="0.2">
      <c r="A194" s="23" t="s">
        <v>114</v>
      </c>
      <c r="C194" s="27">
        <f>C191*C193</f>
        <v>162.19999999999999</v>
      </c>
    </row>
    <row r="195" spans="1:4" x14ac:dyDescent="0.2">
      <c r="A195" s="23" t="s">
        <v>115</v>
      </c>
      <c r="C195" s="9">
        <f>C192*C194-C193</f>
        <v>5.3765082102685966</v>
      </c>
    </row>
    <row r="196" spans="1:4" x14ac:dyDescent="0.2">
      <c r="A196" s="23" t="s">
        <v>116</v>
      </c>
      <c r="C196" s="28" t="str">
        <f>IF(C195&gt;0,"SÍ ✓","no")</f>
        <v>SÍ ✓</v>
      </c>
    </row>
    <row r="198" spans="1:4" ht="16" x14ac:dyDescent="0.2">
      <c r="A198" s="1" t="s">
        <v>127</v>
      </c>
      <c r="B198" s="1"/>
      <c r="C198" s="1"/>
      <c r="D198" s="1"/>
    </row>
    <row r="199" spans="1:4" x14ac:dyDescent="0.2">
      <c r="A199" s="21" t="s">
        <v>22</v>
      </c>
      <c r="B199" s="21" t="s">
        <v>23</v>
      </c>
      <c r="C199" s="21" t="s">
        <v>24</v>
      </c>
      <c r="D199" s="21" t="s">
        <v>110</v>
      </c>
    </row>
    <row r="200" spans="1:4" x14ac:dyDescent="0.2">
      <c r="A200" s="30" t="s">
        <v>29</v>
      </c>
      <c r="B200" s="14" t="s">
        <v>30</v>
      </c>
      <c r="C200" s="15">
        <f>Probabilidades!D2</f>
        <v>1.45</v>
      </c>
      <c r="D200" s="16">
        <f>Probabilidades!F2</f>
        <v>0.75</v>
      </c>
    </row>
    <row r="201" spans="1:4" x14ac:dyDescent="0.2">
      <c r="A201" s="30" t="s">
        <v>35</v>
      </c>
      <c r="B201" s="14" t="s">
        <v>36</v>
      </c>
      <c r="C201" s="15">
        <f>Probabilidades!D4</f>
        <v>1.47</v>
      </c>
      <c r="D201" s="16">
        <f>Probabilidades!F4</f>
        <v>0.65</v>
      </c>
    </row>
    <row r="202" spans="1:4" x14ac:dyDescent="0.2">
      <c r="A202" s="30" t="s">
        <v>41</v>
      </c>
      <c r="B202" s="14" t="s">
        <v>42</v>
      </c>
      <c r="C202" s="15">
        <f>Probabilidades!D6</f>
        <v>1.05</v>
      </c>
      <c r="D202" s="16">
        <f>Probabilidades!F6</f>
        <v>0.98</v>
      </c>
    </row>
    <row r="203" spans="1:4" x14ac:dyDescent="0.2">
      <c r="A203" s="30" t="s">
        <v>48</v>
      </c>
      <c r="B203" s="14" t="s">
        <v>49</v>
      </c>
      <c r="C203" s="15">
        <f>Probabilidades!D9</f>
        <v>1.5</v>
      </c>
      <c r="D203" s="16">
        <f>Probabilidades!F9</f>
        <v>0.66669999999999996</v>
      </c>
    </row>
    <row r="204" spans="1:4" x14ac:dyDescent="0.2">
      <c r="A204" s="30" t="s">
        <v>50</v>
      </c>
      <c r="B204" s="14" t="s">
        <v>51</v>
      </c>
      <c r="C204" s="15">
        <f>Probabilidades!D10</f>
        <v>1.47</v>
      </c>
      <c r="D204" s="16">
        <f>Probabilidades!F10</f>
        <v>0.71</v>
      </c>
    </row>
    <row r="205" spans="1:4" x14ac:dyDescent="0.2">
      <c r="A205" s="30" t="s">
        <v>55</v>
      </c>
      <c r="B205" s="14" t="s">
        <v>56</v>
      </c>
      <c r="C205" s="15">
        <f>Probabilidades!D12</f>
        <v>1.42</v>
      </c>
      <c r="D205" s="16">
        <f>Probabilidades!F12</f>
        <v>0.68</v>
      </c>
    </row>
    <row r="206" spans="1:4" x14ac:dyDescent="0.2">
      <c r="A206" s="30" t="s">
        <v>57</v>
      </c>
      <c r="B206" s="14" t="s">
        <v>58</v>
      </c>
      <c r="C206" s="15">
        <f>Probabilidades!D13</f>
        <v>1.34</v>
      </c>
      <c r="D206" s="16">
        <f>Probabilidades!F13</f>
        <v>0.82</v>
      </c>
    </row>
    <row r="207" spans="1:4" x14ac:dyDescent="0.2">
      <c r="A207" s="30" t="s">
        <v>59</v>
      </c>
      <c r="B207" s="14" t="s">
        <v>60</v>
      </c>
      <c r="C207" s="15">
        <f>Probabilidades!D14</f>
        <v>1.28</v>
      </c>
      <c r="D207" s="16">
        <f>Probabilidades!F14</f>
        <v>0.85</v>
      </c>
    </row>
    <row r="208" spans="1:4" x14ac:dyDescent="0.2">
      <c r="A208" s="30" t="s">
        <v>61</v>
      </c>
      <c r="B208" s="14" t="s">
        <v>62</v>
      </c>
      <c r="C208" s="15">
        <f>Probabilidades!D15</f>
        <v>1.29</v>
      </c>
      <c r="D208" s="16">
        <f>Probabilidades!F15</f>
        <v>0.8</v>
      </c>
    </row>
    <row r="209" spans="1:4" x14ac:dyDescent="0.2">
      <c r="A209" s="30" t="s">
        <v>63</v>
      </c>
      <c r="B209" s="14" t="s">
        <v>64</v>
      </c>
      <c r="C209" s="15">
        <f>Probabilidades!D16</f>
        <v>1.42</v>
      </c>
      <c r="D209" s="16">
        <f>Probabilidades!F16</f>
        <v>0.92</v>
      </c>
    </row>
    <row r="210" spans="1:4" x14ac:dyDescent="0.2">
      <c r="A210" s="30" t="s">
        <v>80</v>
      </c>
      <c r="B210" s="14" t="s">
        <v>81</v>
      </c>
      <c r="C210" s="15">
        <f>Probabilidades!D25</f>
        <v>1.47</v>
      </c>
      <c r="D210" s="16">
        <f>Probabilidades!F25</f>
        <v>0.73</v>
      </c>
    </row>
    <row r="211" spans="1:4" x14ac:dyDescent="0.2">
      <c r="A211" s="30" t="s">
        <v>48</v>
      </c>
      <c r="B211" s="14" t="s">
        <v>82</v>
      </c>
      <c r="C211" s="15">
        <f>Probabilidades!D26</f>
        <v>1.47</v>
      </c>
      <c r="D211" s="16">
        <f>Probabilidades!F26</f>
        <v>0.76</v>
      </c>
    </row>
    <row r="212" spans="1:4" x14ac:dyDescent="0.2">
      <c r="A212" s="30" t="s">
        <v>55</v>
      </c>
      <c r="B212" s="14" t="s">
        <v>85</v>
      </c>
      <c r="C212" s="15">
        <f>Probabilidades!D28</f>
        <v>1.67</v>
      </c>
      <c r="D212" s="16">
        <f>Probabilidades!F28</f>
        <v>0.55000000000000004</v>
      </c>
    </row>
    <row r="213" spans="1:4" x14ac:dyDescent="0.2">
      <c r="A213" s="30" t="s">
        <v>90</v>
      </c>
      <c r="B213" s="14" t="s">
        <v>91</v>
      </c>
      <c r="C213" s="15">
        <f>Probabilidades!D32</f>
        <v>1.32</v>
      </c>
      <c r="D213" s="16">
        <f>Probabilidades!F32</f>
        <v>0.82</v>
      </c>
    </row>
    <row r="214" spans="1:4" x14ac:dyDescent="0.2">
      <c r="A214" s="30" t="s">
        <v>92</v>
      </c>
      <c r="B214" s="14" t="s">
        <v>93</v>
      </c>
      <c r="C214" s="15">
        <f>Probabilidades!D33</f>
        <v>1.5</v>
      </c>
      <c r="D214" s="16">
        <f>Probabilidades!F33</f>
        <v>0.84</v>
      </c>
    </row>
    <row r="215" spans="1:4" x14ac:dyDescent="0.2">
      <c r="A215" s="30" t="s">
        <v>63</v>
      </c>
      <c r="B215" s="14" t="s">
        <v>94</v>
      </c>
      <c r="C215" s="15">
        <f>Probabilidades!D34</f>
        <v>1.52</v>
      </c>
      <c r="D215" s="16">
        <f>Probabilidades!F34</f>
        <v>0.75</v>
      </c>
    </row>
    <row r="216" spans="1:4" x14ac:dyDescent="0.2">
      <c r="A216" s="30" t="s">
        <v>73</v>
      </c>
      <c r="B216" s="14" t="s">
        <v>95</v>
      </c>
      <c r="C216" s="15">
        <f>Probabilidades!D35</f>
        <v>1.4</v>
      </c>
      <c r="D216" s="16">
        <f>Probabilidades!F35</f>
        <v>0.92</v>
      </c>
    </row>
    <row r="217" spans="1:4" x14ac:dyDescent="0.2">
      <c r="A217" s="30" t="s">
        <v>99</v>
      </c>
      <c r="B217" s="14" t="s">
        <v>100</v>
      </c>
      <c r="C217" s="15">
        <f>Probabilidades!D38</f>
        <v>1.34</v>
      </c>
      <c r="D217" s="16">
        <f>Probabilidades!F38</f>
        <v>0.84</v>
      </c>
    </row>
    <row r="218" spans="1:4" x14ac:dyDescent="0.2">
      <c r="A218" s="30" t="s">
        <v>101</v>
      </c>
      <c r="B218" s="14" t="s">
        <v>102</v>
      </c>
      <c r="C218" s="15">
        <f>Probabilidades!D39</f>
        <v>1.47</v>
      </c>
      <c r="D218" s="16">
        <f>Probabilidades!F39</f>
        <v>0.73</v>
      </c>
    </row>
    <row r="219" spans="1:4" x14ac:dyDescent="0.2">
      <c r="A219" s="30" t="s">
        <v>80</v>
      </c>
      <c r="B219" s="14" t="s">
        <v>103</v>
      </c>
      <c r="C219" s="15">
        <f>Probabilidades!D40</f>
        <v>1.3</v>
      </c>
      <c r="D219" s="16">
        <f>Probabilidades!F40</f>
        <v>0.86</v>
      </c>
    </row>
    <row r="220" spans="1:4" x14ac:dyDescent="0.2">
      <c r="A220" s="23" t="s">
        <v>111</v>
      </c>
      <c r="C220" s="24">
        <f>ROUND(PRODUCT(C200:C219),2)</f>
        <v>857.27</v>
      </c>
    </row>
    <row r="221" spans="1:4" x14ac:dyDescent="0.2">
      <c r="A221" s="23" t="s">
        <v>112</v>
      </c>
      <c r="C221" s="25">
        <f>PRODUCT(D200:D219)</f>
        <v>6.033245160728791E-3</v>
      </c>
    </row>
    <row r="222" spans="1:4" x14ac:dyDescent="0.2">
      <c r="A222" s="23" t="s">
        <v>113</v>
      </c>
      <c r="C222" s="26">
        <v>5</v>
      </c>
    </row>
    <row r="223" spans="1:4" x14ac:dyDescent="0.2">
      <c r="A223" s="23" t="s">
        <v>114</v>
      </c>
      <c r="C223" s="27">
        <f>C220*C222</f>
        <v>4286.3500000000004</v>
      </c>
    </row>
    <row r="224" spans="1:4" x14ac:dyDescent="0.2">
      <c r="A224" s="23" t="s">
        <v>115</v>
      </c>
      <c r="C224" s="9">
        <f>C221*C223-C222</f>
        <v>20.860600394689854</v>
      </c>
    </row>
    <row r="225" spans="1:4" x14ac:dyDescent="0.2">
      <c r="A225" s="23" t="s">
        <v>116</v>
      </c>
      <c r="C225" s="28" t="str">
        <f>IF(C224&gt;0,"SÍ ✓","no")</f>
        <v>SÍ ✓</v>
      </c>
    </row>
    <row r="227" spans="1:4" ht="16" x14ac:dyDescent="0.2">
      <c r="A227" s="1" t="s">
        <v>128</v>
      </c>
      <c r="B227" s="1"/>
      <c r="C227" s="1"/>
      <c r="D227" s="1"/>
    </row>
    <row r="228" spans="1:4" x14ac:dyDescent="0.2">
      <c r="A228" s="21" t="s">
        <v>22</v>
      </c>
      <c r="B228" s="21" t="s">
        <v>23</v>
      </c>
      <c r="C228" s="21" t="s">
        <v>24</v>
      </c>
      <c r="D228" s="21" t="s">
        <v>110</v>
      </c>
    </row>
    <row r="229" spans="1:4" x14ac:dyDescent="0.2">
      <c r="A229" s="30" t="s">
        <v>32</v>
      </c>
      <c r="B229" s="14" t="s">
        <v>33</v>
      </c>
      <c r="C229" s="15">
        <f>Probabilidades!D3</f>
        <v>1.26</v>
      </c>
      <c r="D229" s="16">
        <f>Probabilidades!F3</f>
        <v>0.87</v>
      </c>
    </row>
    <row r="230" spans="1:4" x14ac:dyDescent="0.2">
      <c r="A230" s="30" t="s">
        <v>38</v>
      </c>
      <c r="B230" s="14" t="s">
        <v>39</v>
      </c>
      <c r="C230" s="15">
        <f>Probabilidades!D5</f>
        <v>1.8</v>
      </c>
      <c r="D230" s="16">
        <f>Probabilidades!F5</f>
        <v>0.78</v>
      </c>
    </row>
    <row r="231" spans="1:4" x14ac:dyDescent="0.2">
      <c r="A231" s="30" t="s">
        <v>44</v>
      </c>
      <c r="B231" s="14" t="s">
        <v>45</v>
      </c>
      <c r="C231" s="15">
        <f>Probabilidades!D7</f>
        <v>1.1000000000000001</v>
      </c>
      <c r="D231" s="16">
        <f>Probabilidades!F7</f>
        <v>0.98</v>
      </c>
    </row>
    <row r="232" spans="1:4" x14ac:dyDescent="0.2">
      <c r="A232" s="30" t="s">
        <v>46</v>
      </c>
      <c r="B232" s="14" t="s">
        <v>47</v>
      </c>
      <c r="C232" s="15">
        <f>Probabilidades!D8</f>
        <v>1.19</v>
      </c>
      <c r="D232" s="16">
        <f>Probabilidades!F8</f>
        <v>0.77</v>
      </c>
    </row>
    <row r="233" spans="1:4" x14ac:dyDescent="0.2">
      <c r="A233" s="30" t="s">
        <v>52</v>
      </c>
      <c r="B233" s="14" t="s">
        <v>53</v>
      </c>
      <c r="C233" s="15">
        <f>Probabilidades!D11</f>
        <v>1.23</v>
      </c>
      <c r="D233" s="16">
        <f>Probabilidades!F11</f>
        <v>0.87</v>
      </c>
    </row>
    <row r="234" spans="1:4" x14ac:dyDescent="0.2">
      <c r="A234" s="30" t="s">
        <v>65</v>
      </c>
      <c r="B234" s="14" t="s">
        <v>66</v>
      </c>
      <c r="C234" s="15">
        <f>Probabilidades!D17</f>
        <v>1.27</v>
      </c>
      <c r="D234" s="16">
        <f>Probabilidades!F17</f>
        <v>0.88</v>
      </c>
    </row>
    <row r="235" spans="1:4" x14ac:dyDescent="0.2">
      <c r="A235" s="30" t="s">
        <v>67</v>
      </c>
      <c r="B235" s="14" t="s">
        <v>68</v>
      </c>
      <c r="C235" s="15">
        <f>Probabilidades!D18</f>
        <v>1.17</v>
      </c>
      <c r="D235" s="16">
        <f>Probabilidades!F18</f>
        <v>0.76</v>
      </c>
    </row>
    <row r="236" spans="1:4" x14ac:dyDescent="0.2">
      <c r="A236" s="30" t="s">
        <v>69</v>
      </c>
      <c r="B236" s="14" t="s">
        <v>70</v>
      </c>
      <c r="C236" s="15">
        <f>Probabilidades!D19</f>
        <v>1.22</v>
      </c>
      <c r="D236" s="16">
        <f>Probabilidades!F19</f>
        <v>0.68</v>
      </c>
    </row>
    <row r="237" spans="1:4" x14ac:dyDescent="0.2">
      <c r="A237" s="30" t="s">
        <v>71</v>
      </c>
      <c r="B237" s="14" t="s">
        <v>72</v>
      </c>
      <c r="C237" s="15">
        <f>Probabilidades!D20</f>
        <v>2.0499999999999998</v>
      </c>
      <c r="D237" s="16">
        <f>Probabilidades!F20</f>
        <v>0.82</v>
      </c>
    </row>
    <row r="238" spans="1:4" x14ac:dyDescent="0.2">
      <c r="A238" s="30" t="s">
        <v>73</v>
      </c>
      <c r="B238" s="14" t="s">
        <v>74</v>
      </c>
      <c r="C238" s="15">
        <f>Probabilidades!D21</f>
        <v>1.06</v>
      </c>
      <c r="D238" s="16">
        <f>Probabilidades!F21</f>
        <v>0.99</v>
      </c>
    </row>
    <row r="239" spans="1:4" x14ac:dyDescent="0.2">
      <c r="A239" s="30" t="s">
        <v>75</v>
      </c>
      <c r="B239" s="14" t="s">
        <v>76</v>
      </c>
      <c r="C239" s="15">
        <f>Probabilidades!D22</f>
        <v>1.27</v>
      </c>
      <c r="D239" s="16">
        <f>Probabilidades!F22</f>
        <v>0.95</v>
      </c>
    </row>
    <row r="240" spans="1:4" x14ac:dyDescent="0.2">
      <c r="A240" s="30" t="s">
        <v>77</v>
      </c>
      <c r="B240" s="14" t="s">
        <v>78</v>
      </c>
      <c r="C240" s="15">
        <f>Probabilidades!D23</f>
        <v>1.2</v>
      </c>
      <c r="D240" s="16">
        <f>Probabilidades!F23</f>
        <v>0.83330000000000004</v>
      </c>
    </row>
    <row r="241" spans="1:4" x14ac:dyDescent="0.2">
      <c r="A241" s="30" t="s">
        <v>44</v>
      </c>
      <c r="B241" s="14" t="s">
        <v>79</v>
      </c>
      <c r="C241" s="15">
        <f>Probabilidades!D24</f>
        <v>1.1299999999999999</v>
      </c>
      <c r="D241" s="16">
        <f>Probabilidades!F24</f>
        <v>0.88500000000000001</v>
      </c>
    </row>
    <row r="242" spans="1:4" x14ac:dyDescent="0.2">
      <c r="A242" s="30" t="s">
        <v>83</v>
      </c>
      <c r="B242" s="14" t="s">
        <v>84</v>
      </c>
      <c r="C242" s="15">
        <f>Probabilidades!D27</f>
        <v>1.19</v>
      </c>
      <c r="D242" s="16">
        <f>Probabilidades!F27</f>
        <v>0.87</v>
      </c>
    </row>
    <row r="243" spans="1:4" x14ac:dyDescent="0.2">
      <c r="A243" s="30" t="s">
        <v>50</v>
      </c>
      <c r="B243" s="14" t="s">
        <v>86</v>
      </c>
      <c r="C243" s="15">
        <f>Probabilidades!D29</f>
        <v>1.1200000000000001</v>
      </c>
      <c r="D243" s="16">
        <f>Probabilidades!F29</f>
        <v>0.96</v>
      </c>
    </row>
    <row r="244" spans="1:4" x14ac:dyDescent="0.2">
      <c r="A244" s="30" t="s">
        <v>87</v>
      </c>
      <c r="B244" s="14" t="s">
        <v>88</v>
      </c>
      <c r="C244" s="15">
        <f>Probabilidades!D30</f>
        <v>1.18</v>
      </c>
      <c r="D244" s="16">
        <f>Probabilidades!F30</f>
        <v>0.71</v>
      </c>
    </row>
    <row r="245" spans="1:4" x14ac:dyDescent="0.2">
      <c r="A245" s="30" t="s">
        <v>59</v>
      </c>
      <c r="B245" s="14" t="s">
        <v>89</v>
      </c>
      <c r="C245" s="15">
        <f>Probabilidades!D31</f>
        <v>1.27</v>
      </c>
      <c r="D245" s="16">
        <f>Probabilidades!F31</f>
        <v>0.95</v>
      </c>
    </row>
    <row r="246" spans="1:4" x14ac:dyDescent="0.2">
      <c r="A246" s="30" t="s">
        <v>71</v>
      </c>
      <c r="B246" s="14" t="s">
        <v>96</v>
      </c>
      <c r="C246" s="15">
        <f>Probabilidades!D36</f>
        <v>1.26</v>
      </c>
      <c r="D246" s="16">
        <f>Probabilidades!F36</f>
        <v>0.93</v>
      </c>
    </row>
    <row r="247" spans="1:4" x14ac:dyDescent="0.2">
      <c r="A247" s="30" t="s">
        <v>90</v>
      </c>
      <c r="B247" s="14" t="s">
        <v>104</v>
      </c>
      <c r="C247" s="15">
        <f>Probabilidades!D41</f>
        <v>1.2</v>
      </c>
      <c r="D247" s="16">
        <f>Probabilidades!F41</f>
        <v>0.95</v>
      </c>
    </row>
    <row r="248" spans="1:4" x14ac:dyDescent="0.2">
      <c r="A248" s="30" t="s">
        <v>55</v>
      </c>
      <c r="B248" s="14" t="s">
        <v>105</v>
      </c>
      <c r="C248" s="15">
        <f>Probabilidades!D42</f>
        <v>1.2</v>
      </c>
      <c r="D248" s="16">
        <f>Probabilidades!F42</f>
        <v>0.91</v>
      </c>
    </row>
    <row r="249" spans="1:4" x14ac:dyDescent="0.2">
      <c r="A249" s="23" t="s">
        <v>111</v>
      </c>
      <c r="C249" s="24">
        <f>ROUND(PRODUCT(C229:C248),2)</f>
        <v>89.77</v>
      </c>
    </row>
    <row r="250" spans="1:4" x14ac:dyDescent="0.2">
      <c r="A250" s="23" t="s">
        <v>112</v>
      </c>
      <c r="C250" s="25">
        <f>PRODUCT(D229:D248)</f>
        <v>5.2190658509963385E-2</v>
      </c>
    </row>
    <row r="251" spans="1:4" x14ac:dyDescent="0.2">
      <c r="A251" s="23" t="s">
        <v>113</v>
      </c>
      <c r="C251" s="26">
        <v>5</v>
      </c>
    </row>
    <row r="252" spans="1:4" x14ac:dyDescent="0.2">
      <c r="A252" s="23" t="s">
        <v>114</v>
      </c>
      <c r="C252" s="27">
        <f>C249*C251</f>
        <v>448.84999999999997</v>
      </c>
    </row>
    <row r="253" spans="1:4" x14ac:dyDescent="0.2">
      <c r="A253" s="23" t="s">
        <v>115</v>
      </c>
      <c r="C253" s="9">
        <f>C250*C252-C251</f>
        <v>18.425777072197064</v>
      </c>
    </row>
    <row r="254" spans="1:4" x14ac:dyDescent="0.2">
      <c r="A254" s="23" t="s">
        <v>116</v>
      </c>
      <c r="C254" s="28" t="str">
        <f>IF(C253&gt;0,"SÍ ✓","no")</f>
        <v>SÍ ✓</v>
      </c>
    </row>
    <row r="256" spans="1:4" ht="16" x14ac:dyDescent="0.2">
      <c r="A256" s="1" t="s">
        <v>129</v>
      </c>
      <c r="B256" s="1"/>
      <c r="C256" s="1"/>
      <c r="D256" s="1"/>
    </row>
    <row r="257" spans="1:4" x14ac:dyDescent="0.2">
      <c r="A257" s="21" t="s">
        <v>22</v>
      </c>
      <c r="B257" s="21" t="s">
        <v>23</v>
      </c>
      <c r="C257" s="21" t="s">
        <v>24</v>
      </c>
      <c r="D257" s="21" t="s">
        <v>110</v>
      </c>
    </row>
    <row r="258" spans="1:4" x14ac:dyDescent="0.2">
      <c r="A258" s="30" t="s">
        <v>29</v>
      </c>
      <c r="B258" s="14" t="s">
        <v>30</v>
      </c>
      <c r="C258" s="15">
        <f>Probabilidades!D2</f>
        <v>1.45</v>
      </c>
      <c r="D258" s="16">
        <f>Probabilidades!F2</f>
        <v>0.75</v>
      </c>
    </row>
    <row r="259" spans="1:4" x14ac:dyDescent="0.2">
      <c r="A259" s="30" t="s">
        <v>35</v>
      </c>
      <c r="B259" s="14" t="s">
        <v>36</v>
      </c>
      <c r="C259" s="15">
        <f>Probabilidades!D4</f>
        <v>1.47</v>
      </c>
      <c r="D259" s="16">
        <f>Probabilidades!F4</f>
        <v>0.65</v>
      </c>
    </row>
    <row r="260" spans="1:4" x14ac:dyDescent="0.2">
      <c r="A260" s="30" t="s">
        <v>48</v>
      </c>
      <c r="B260" s="14" t="s">
        <v>49</v>
      </c>
      <c r="C260" s="15">
        <f>Probabilidades!D9</f>
        <v>1.5</v>
      </c>
      <c r="D260" s="16">
        <f>Probabilidades!F9</f>
        <v>0.66669999999999996</v>
      </c>
    </row>
    <row r="261" spans="1:4" x14ac:dyDescent="0.2">
      <c r="A261" s="30" t="s">
        <v>50</v>
      </c>
      <c r="B261" s="14" t="s">
        <v>51</v>
      </c>
      <c r="C261" s="15">
        <f>Probabilidades!D10</f>
        <v>1.47</v>
      </c>
      <c r="D261" s="16">
        <f>Probabilidades!F10</f>
        <v>0.71</v>
      </c>
    </row>
    <row r="262" spans="1:4" x14ac:dyDescent="0.2">
      <c r="A262" s="30" t="s">
        <v>55</v>
      </c>
      <c r="B262" s="14" t="s">
        <v>56</v>
      </c>
      <c r="C262" s="15">
        <f>Probabilidades!D12</f>
        <v>1.42</v>
      </c>
      <c r="D262" s="16">
        <f>Probabilidades!F12</f>
        <v>0.68</v>
      </c>
    </row>
    <row r="263" spans="1:4" x14ac:dyDescent="0.2">
      <c r="A263" s="30" t="s">
        <v>57</v>
      </c>
      <c r="B263" s="14" t="s">
        <v>58</v>
      </c>
      <c r="C263" s="15">
        <f>Probabilidades!D13</f>
        <v>1.34</v>
      </c>
      <c r="D263" s="16">
        <f>Probabilidades!F13</f>
        <v>0.82</v>
      </c>
    </row>
    <row r="264" spans="1:4" x14ac:dyDescent="0.2">
      <c r="A264" s="30" t="s">
        <v>59</v>
      </c>
      <c r="B264" s="14" t="s">
        <v>60</v>
      </c>
      <c r="C264" s="15">
        <f>Probabilidades!D14</f>
        <v>1.28</v>
      </c>
      <c r="D264" s="16">
        <f>Probabilidades!F14</f>
        <v>0.85</v>
      </c>
    </row>
    <row r="265" spans="1:4" x14ac:dyDescent="0.2">
      <c r="A265" s="30" t="s">
        <v>61</v>
      </c>
      <c r="B265" s="14" t="s">
        <v>62</v>
      </c>
      <c r="C265" s="15">
        <f>Probabilidades!D15</f>
        <v>1.29</v>
      </c>
      <c r="D265" s="16">
        <f>Probabilidades!F15</f>
        <v>0.8</v>
      </c>
    </row>
    <row r="266" spans="1:4" x14ac:dyDescent="0.2">
      <c r="A266" s="30" t="s">
        <v>63</v>
      </c>
      <c r="B266" s="14" t="s">
        <v>64</v>
      </c>
      <c r="C266" s="15">
        <f>Probabilidades!D16</f>
        <v>1.42</v>
      </c>
      <c r="D266" s="16">
        <f>Probabilidades!F16</f>
        <v>0.92</v>
      </c>
    </row>
    <row r="267" spans="1:4" x14ac:dyDescent="0.2">
      <c r="A267" s="30" t="s">
        <v>80</v>
      </c>
      <c r="B267" s="14" t="s">
        <v>81</v>
      </c>
      <c r="C267" s="15">
        <f>Probabilidades!D25</f>
        <v>1.47</v>
      </c>
      <c r="D267" s="16">
        <f>Probabilidades!F25</f>
        <v>0.73</v>
      </c>
    </row>
    <row r="268" spans="1:4" x14ac:dyDescent="0.2">
      <c r="A268" s="30" t="s">
        <v>48</v>
      </c>
      <c r="B268" s="14" t="s">
        <v>82</v>
      </c>
      <c r="C268" s="15">
        <f>Probabilidades!D26</f>
        <v>1.47</v>
      </c>
      <c r="D268" s="16">
        <f>Probabilidades!F26</f>
        <v>0.76</v>
      </c>
    </row>
    <row r="269" spans="1:4" x14ac:dyDescent="0.2">
      <c r="A269" s="30" t="s">
        <v>55</v>
      </c>
      <c r="B269" s="14" t="s">
        <v>85</v>
      </c>
      <c r="C269" s="15">
        <f>Probabilidades!D28</f>
        <v>1.67</v>
      </c>
      <c r="D269" s="16">
        <f>Probabilidades!F28</f>
        <v>0.55000000000000004</v>
      </c>
    </row>
    <row r="270" spans="1:4" x14ac:dyDescent="0.2">
      <c r="A270" s="30" t="s">
        <v>90</v>
      </c>
      <c r="B270" s="14" t="s">
        <v>91</v>
      </c>
      <c r="C270" s="15">
        <f>Probabilidades!D32</f>
        <v>1.32</v>
      </c>
      <c r="D270" s="16">
        <f>Probabilidades!F32</f>
        <v>0.82</v>
      </c>
    </row>
    <row r="271" spans="1:4" x14ac:dyDescent="0.2">
      <c r="A271" s="30" t="s">
        <v>92</v>
      </c>
      <c r="B271" s="14" t="s">
        <v>93</v>
      </c>
      <c r="C271" s="15">
        <f>Probabilidades!D33</f>
        <v>1.5</v>
      </c>
      <c r="D271" s="16">
        <f>Probabilidades!F33</f>
        <v>0.84</v>
      </c>
    </row>
    <row r="272" spans="1:4" x14ac:dyDescent="0.2">
      <c r="A272" s="30" t="s">
        <v>63</v>
      </c>
      <c r="B272" s="14" t="s">
        <v>94</v>
      </c>
      <c r="C272" s="15">
        <f>Probabilidades!D34</f>
        <v>1.52</v>
      </c>
      <c r="D272" s="16">
        <f>Probabilidades!F34</f>
        <v>0.75</v>
      </c>
    </row>
    <row r="273" spans="1:4" x14ac:dyDescent="0.2">
      <c r="A273" s="30" t="s">
        <v>73</v>
      </c>
      <c r="B273" s="14" t="s">
        <v>95</v>
      </c>
      <c r="C273" s="15">
        <f>Probabilidades!D35</f>
        <v>1.4</v>
      </c>
      <c r="D273" s="16">
        <f>Probabilidades!F35</f>
        <v>0.92</v>
      </c>
    </row>
    <row r="274" spans="1:4" x14ac:dyDescent="0.2">
      <c r="A274" s="30" t="s">
        <v>97</v>
      </c>
      <c r="B274" s="14" t="s">
        <v>98</v>
      </c>
      <c r="C274" s="15">
        <f>Probabilidades!D37</f>
        <v>1.27</v>
      </c>
      <c r="D274" s="16">
        <f>Probabilidades!F37</f>
        <v>0.8</v>
      </c>
    </row>
    <row r="275" spans="1:4" x14ac:dyDescent="0.2">
      <c r="A275" s="30" t="s">
        <v>99</v>
      </c>
      <c r="B275" s="14" t="s">
        <v>100</v>
      </c>
      <c r="C275" s="15">
        <f>Probabilidades!D38</f>
        <v>1.34</v>
      </c>
      <c r="D275" s="16">
        <f>Probabilidades!F38</f>
        <v>0.84</v>
      </c>
    </row>
    <row r="276" spans="1:4" x14ac:dyDescent="0.2">
      <c r="A276" s="30" t="s">
        <v>101</v>
      </c>
      <c r="B276" s="14" t="s">
        <v>102</v>
      </c>
      <c r="C276" s="15">
        <f>Probabilidades!D39</f>
        <v>1.47</v>
      </c>
      <c r="D276" s="16">
        <f>Probabilidades!F39</f>
        <v>0.73</v>
      </c>
    </row>
    <row r="277" spans="1:4" x14ac:dyDescent="0.2">
      <c r="A277" s="30" t="s">
        <v>80</v>
      </c>
      <c r="B277" s="14" t="s">
        <v>103</v>
      </c>
      <c r="C277" s="15">
        <f>Probabilidades!D40</f>
        <v>1.3</v>
      </c>
      <c r="D277" s="16">
        <f>Probabilidades!F40</f>
        <v>0.86</v>
      </c>
    </row>
    <row r="278" spans="1:4" x14ac:dyDescent="0.2">
      <c r="A278" s="23" t="s">
        <v>111</v>
      </c>
      <c r="C278" s="24">
        <f>ROUND(PRODUCT(C258:C277),2)</f>
        <v>1036.8900000000001</v>
      </c>
    </row>
    <row r="279" spans="1:4" x14ac:dyDescent="0.2">
      <c r="A279" s="23" t="s">
        <v>112</v>
      </c>
      <c r="C279" s="25">
        <f>PRODUCT(D258:D277)</f>
        <v>4.9250980903908503E-3</v>
      </c>
    </row>
    <row r="280" spans="1:4" x14ac:dyDescent="0.2">
      <c r="A280" s="23" t="s">
        <v>113</v>
      </c>
      <c r="C280" s="26">
        <v>5</v>
      </c>
    </row>
    <row r="281" spans="1:4" x14ac:dyDescent="0.2">
      <c r="A281" s="23" t="s">
        <v>114</v>
      </c>
      <c r="C281" s="27">
        <f>C278*C280</f>
        <v>5184.4500000000007</v>
      </c>
    </row>
    <row r="282" spans="1:4" x14ac:dyDescent="0.2">
      <c r="A282" s="23" t="s">
        <v>115</v>
      </c>
      <c r="C282" s="9">
        <f>C279*C281-C280</f>
        <v>20.533924794726847</v>
      </c>
    </row>
    <row r="283" spans="1:4" x14ac:dyDescent="0.2">
      <c r="A283" s="23" t="s">
        <v>116</v>
      </c>
      <c r="C283" s="28" t="str">
        <f>IF(C282&gt;0,"SÍ ✓","no")</f>
        <v>SÍ ✓</v>
      </c>
    </row>
  </sheetData>
  <mergeCells count="14">
    <mergeCell ref="A169:D169"/>
    <mergeCell ref="A198:D198"/>
    <mergeCell ref="A227:D227"/>
    <mergeCell ref="A256:D256"/>
    <mergeCell ref="A74:D74"/>
    <mergeCell ref="A93:D93"/>
    <mergeCell ref="A112:D112"/>
    <mergeCell ref="A131:D131"/>
    <mergeCell ref="A150:D150"/>
    <mergeCell ref="A4:D4"/>
    <mergeCell ref="A18:D18"/>
    <mergeCell ref="A32:D32"/>
    <mergeCell ref="A46:D46"/>
    <mergeCell ref="A60:D6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zoomScaleNormal="100" workbookViewId="0"/>
  </sheetViews>
  <sheetFormatPr baseColWidth="10" defaultColWidth="8.6640625" defaultRowHeight="15" x14ac:dyDescent="0.2"/>
  <cols>
    <col min="1" max="1" width="46" customWidth="1"/>
    <col min="2" max="2" width="16" customWidth="1"/>
  </cols>
  <sheetData>
    <row r="1" spans="1:7" ht="18" x14ac:dyDescent="0.2">
      <c r="A1" s="19" t="s">
        <v>130</v>
      </c>
    </row>
    <row r="3" spans="1:7" x14ac:dyDescent="0.2">
      <c r="A3" s="6" t="s">
        <v>131</v>
      </c>
    </row>
    <row r="4" spans="1:7" x14ac:dyDescent="0.2">
      <c r="A4" s="2" t="s">
        <v>132</v>
      </c>
      <c r="B4" s="2"/>
      <c r="C4" s="2"/>
      <c r="D4" s="2"/>
      <c r="E4" s="2"/>
      <c r="F4" s="2"/>
      <c r="G4" s="2"/>
    </row>
    <row r="5" spans="1:7" x14ac:dyDescent="0.2">
      <c r="A5" s="2" t="s">
        <v>133</v>
      </c>
      <c r="B5" s="2"/>
      <c r="C5" s="2"/>
      <c r="D5" s="2"/>
      <c r="E5" s="2"/>
      <c r="F5" s="2"/>
      <c r="G5" s="2"/>
    </row>
    <row r="6" spans="1:7" x14ac:dyDescent="0.2">
      <c r="A6" s="2" t="s">
        <v>134</v>
      </c>
      <c r="B6" s="2"/>
      <c r="C6" s="2"/>
      <c r="D6" s="2"/>
      <c r="E6" s="2"/>
      <c r="F6" s="2"/>
      <c r="G6" s="2"/>
    </row>
    <row r="7" spans="1:7" x14ac:dyDescent="0.2">
      <c r="A7" s="2" t="s">
        <v>135</v>
      </c>
      <c r="B7" s="2"/>
      <c r="C7" s="2"/>
      <c r="D7" s="2"/>
      <c r="E7" s="2"/>
      <c r="F7" s="2"/>
      <c r="G7" s="2"/>
    </row>
    <row r="8" spans="1:7" x14ac:dyDescent="0.2">
      <c r="A8" s="2" t="s">
        <v>136</v>
      </c>
      <c r="B8" s="2"/>
      <c r="C8" s="2"/>
      <c r="D8" s="2"/>
      <c r="E8" s="2"/>
      <c r="F8" s="2"/>
      <c r="G8" s="2"/>
    </row>
    <row r="10" spans="1:7" x14ac:dyDescent="0.2">
      <c r="A10" s="6" t="s">
        <v>137</v>
      </c>
    </row>
    <row r="11" spans="1:7" x14ac:dyDescent="0.2">
      <c r="A11" s="2" t="s">
        <v>138</v>
      </c>
      <c r="B11" s="2"/>
      <c r="C11" s="2"/>
      <c r="D11" s="2"/>
      <c r="E11" s="2"/>
      <c r="F11" s="2"/>
      <c r="G11" s="2"/>
    </row>
    <row r="13" spans="1:7" x14ac:dyDescent="0.2">
      <c r="A13" s="7" t="s">
        <v>139</v>
      </c>
      <c r="B13" s="31">
        <v>1000</v>
      </c>
    </row>
    <row r="14" spans="1:7" x14ac:dyDescent="0.2">
      <c r="A14" s="7" t="s">
        <v>140</v>
      </c>
      <c r="B14" s="32">
        <v>2.5</v>
      </c>
    </row>
    <row r="15" spans="1:7" x14ac:dyDescent="0.2">
      <c r="A15" s="7" t="s">
        <v>141</v>
      </c>
      <c r="B15" s="31">
        <v>20</v>
      </c>
    </row>
    <row r="16" spans="1:7" x14ac:dyDescent="0.2">
      <c r="A16" s="6" t="s">
        <v>142</v>
      </c>
      <c r="B16" s="27">
        <f>B13/B14</f>
        <v>400</v>
      </c>
    </row>
    <row r="17" spans="1:2" x14ac:dyDescent="0.2">
      <c r="A17" s="6" t="s">
        <v>143</v>
      </c>
      <c r="B17" s="33">
        <f>B13*(1-1/B14)-B15</f>
        <v>580</v>
      </c>
    </row>
  </sheetData>
  <mergeCells count="6">
    <mergeCell ref="A11:G11"/>
    <mergeCell ref="A4:G4"/>
    <mergeCell ref="A5:G5"/>
    <mergeCell ref="A6:G6"/>
    <mergeCell ref="A7:G7"/>
    <mergeCell ref="A8:G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Probabilidades</vt:lpstr>
      <vt:lpstr>Sistema</vt:lpstr>
      <vt:lpstr>Cashout y Hedge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Alejandro Orihuela</cp:lastModifiedBy>
  <cp:revision>0</cp:revision>
  <dcterms:created xsi:type="dcterms:W3CDTF">2026-06-04T21:36:09Z</dcterms:created>
  <dcterms:modified xsi:type="dcterms:W3CDTF">2026-06-04T21:46:41Z</dcterms:modified>
  <dc:language>en-US</dc:language>
</cp:coreProperties>
</file>