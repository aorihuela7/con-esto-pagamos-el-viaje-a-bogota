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binadas por día" sheetId="1" state="visible" r:id="rId3"/>
    <sheet name="Comparación Kelly (por día)" sheetId="2" state="visible" r:id="rId4"/>
    <sheet name="½ Kelly — gana todo" sheetId="3" state="visible" r:id="rId5"/>
    <sheet name="⅔ Kelly — gana todo" sheetId="4" state="visible" r:id="rId6"/>
    <sheet name="Kelly 100% — gana tod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<sst xmlns="http://schemas.openxmlformats.org/spreadsheetml/2006/main" count="449" uniqueCount="133">
  <si>
    <t xml:space="preserve">COMBINADAS POR DÍA — Mundial 2026</t>
  </si>
  <si>
    <t xml:space="preserve">Una combinada por día (solo picks con valor). Montos calculados reinvirtiendo el 100% y asumiendo que ganas. Edita el % o el ¿Ganó? cuando quieras.</t>
  </si>
  <si>
    <t xml:space="preserve">Banca inicial (edítala):</t>
  </si>
  <si>
    <t xml:space="preserve">DÍA 1  ·  11/06   —   Combinada de 1 partido</t>
  </si>
  <si>
    <t xml:space="preserve">Partido  ·  Pick</t>
  </si>
  <si>
    <t xml:space="preserve">Cuota</t>
  </si>
  <si>
    <t xml:space="preserve">Mi P</t>
  </si>
  <si>
    <t xml:space="preserve">México vs Sudáfrica  →  México gana</t>
  </si>
  <si>
    <t xml:space="preserve">Cuota combinada</t>
  </si>
  <si>
    <t xml:space="preserve">Prob. combinada (tus P)</t>
  </si>
  <si>
    <t xml:space="preserve">Banca inicio del día</t>
  </si>
  <si>
    <t xml:space="preserve">Sugerencia Kelly</t>
  </si>
  <si>
    <t xml:space="preserve">% banca</t>
  </si>
  <si>
    <t xml:space="preserve">Monto</t>
  </si>
  <si>
    <t xml:space="preserve">½ Kelly (seguro)</t>
  </si>
  <si>
    <t xml:space="preserve">⅔ Kelly (medio)</t>
  </si>
  <si>
    <t xml:space="preserve">Kelly 100% (agresivo)</t>
  </si>
  <si>
    <t xml:space="preserve">% a apostar  (EDITABLE)</t>
  </si>
  <si>
    <t xml:space="preserve">Monto apostado</t>
  </si>
  <si>
    <t xml:space="preserve">¿Ganó la combinada?  (EDITABLE 1/0)</t>
  </si>
  <si>
    <t xml:space="preserve">Retorno</t>
  </si>
  <si>
    <t xml:space="preserve">BANCA CIERRE DEL DÍA</t>
  </si>
  <si>
    <t xml:space="preserve">DÍA 2  ·  13/06   —   Combinada de 2 partidos</t>
  </si>
  <si>
    <t xml:space="preserve">Catar vs Suiza  →  Suiza gana</t>
  </si>
  <si>
    <t xml:space="preserve">Australia vs Turquía  →  Turquía gana</t>
  </si>
  <si>
    <t xml:space="preserve">DÍA 3  ·  14/06   —   Combinada de 1 partido</t>
  </si>
  <si>
    <t xml:space="preserve">Alemania vs Curazao  →  Alemania gana</t>
  </si>
  <si>
    <t xml:space="preserve">DÍA 4  ·  15/06   —   Combinada de 2 partidos</t>
  </si>
  <si>
    <t xml:space="preserve">España vs Cabo Verde  →  España gana</t>
  </si>
  <si>
    <t xml:space="preserve">Arabia Saudita vs Uruguay  →  Uruguay gana</t>
  </si>
  <si>
    <t xml:space="preserve">DÍA 5  ·  16/06   —   Combinada de 3 partidos</t>
  </si>
  <si>
    <t xml:space="preserve">Francia vs Senegal  →  Francia gana</t>
  </si>
  <si>
    <t xml:space="preserve">Irak vs Noruega  →  Noruega gana</t>
  </si>
  <si>
    <t xml:space="preserve">Austria vs Jordan  →  Austria gana</t>
  </si>
  <si>
    <t xml:space="preserve">DÍA 6  ·  17/06   —   Combinada de 3 partidos</t>
  </si>
  <si>
    <t xml:space="preserve">Portugal vs RD Congo  →  Portugal gana</t>
  </si>
  <si>
    <t xml:space="preserve">Ghana vs Panamá  →  Ghana 1X</t>
  </si>
  <si>
    <t xml:space="preserve">Uzbekistán vs Colombia  →  Colombia gana</t>
  </si>
  <si>
    <t xml:space="preserve">DÍA 7  ·  18/06   —   Combinada de 1 partido</t>
  </si>
  <si>
    <t xml:space="preserve">Rep. Checa vs Sudáfrica  →  Rep. Checa 1X</t>
  </si>
  <si>
    <t xml:space="preserve">DÍA 8  ·  19/06   —   Combinada de 2 partidos</t>
  </si>
  <si>
    <t xml:space="preserve">Escocia vs Marruecos  →  Marruecos gana</t>
  </si>
  <si>
    <t xml:space="preserve">Brasil vs Haití  →  Brasil gana</t>
  </si>
  <si>
    <t xml:space="preserve">DÍA 9  ·  20/06   —   Combinada de 1 partido</t>
  </si>
  <si>
    <t xml:space="preserve">Ecuador vs Curazao  →  Ecuador gana</t>
  </si>
  <si>
    <t xml:space="preserve">DÍA 10  ·  21/06   —   Combinada de 4 partidos</t>
  </si>
  <si>
    <t xml:space="preserve">España vs Arabia Saudita  →  España gana</t>
  </si>
  <si>
    <t xml:space="preserve">Bélgica vs Irán  →  Bélgica gana</t>
  </si>
  <si>
    <t xml:space="preserve">Uruguay vs Cabo Verde  →  Uruguay gana</t>
  </si>
  <si>
    <t xml:space="preserve">Nueva Zelanda vs Egipto  →  Egipto 2X</t>
  </si>
  <si>
    <t xml:space="preserve">DÍA 11  ·  22/06   —   Combinada de 1 partido</t>
  </si>
  <si>
    <t xml:space="preserve">Francia vs Irak  →  Francia gana</t>
  </si>
  <si>
    <t xml:space="preserve">DÍA 12  ·  23/06   —   Combinada de 4 partidos</t>
  </si>
  <si>
    <t xml:space="preserve">Portugal vs Uzbekistán  →  Portugal gana</t>
  </si>
  <si>
    <t xml:space="preserve">Inglaterra vs Ghana  →  Inglaterra gana</t>
  </si>
  <si>
    <t xml:space="preserve">Panamá vs Croacia  →  Croacia gana</t>
  </si>
  <si>
    <t xml:space="preserve">Colombia vs RD Congo  →  Colombia gana</t>
  </si>
  <si>
    <t xml:space="preserve">DÍA 13  ·  24/06   —   Combinada de 3 partidos</t>
  </si>
  <si>
    <t xml:space="preserve">Escocia vs Brasil  →  Brasil gana</t>
  </si>
  <si>
    <t xml:space="preserve">Marruecos vs Haití  →  Marruecos gana</t>
  </si>
  <si>
    <t xml:space="preserve">Sudáfrica vs Corea del Sur  →  Corea 2X</t>
  </si>
  <si>
    <t xml:space="preserve">DÍA 14  ·  25/06   —   Combinada de 1 partido</t>
  </si>
  <si>
    <t xml:space="preserve">Curazao vs Costa de Marfil  →  C. Marfil gana</t>
  </si>
  <si>
    <t xml:space="preserve">DÍA 15  ·  26/06   —   Combinada de 2 partidos</t>
  </si>
  <si>
    <t xml:space="preserve">Senegal vs Irak  →  Senegal gana</t>
  </si>
  <si>
    <t xml:space="preserve">Nueva Zelanda vs Bélgica  →  Bélgica gana</t>
  </si>
  <si>
    <t xml:space="preserve">DÍA 16  ·  27/06   —   Combinada de 2 partidos</t>
  </si>
  <si>
    <t xml:space="preserve">Panamá vs Inglaterra  →  Inglaterra gana</t>
  </si>
  <si>
    <t xml:space="preserve">Jordan vs Argentina  →  Argentina gana</t>
  </si>
  <si>
    <t xml:space="preserve">BANCA FINAL (proyección)</t>
  </si>
  <si>
    <t xml:space="preserve">Aviso realista: con 100% reinvertido y asumiendo que ganas TODOS los días, la banca se dispara — pero la probabilidad de encadenar los 18 días es ínfima. La columna '½ Kelly' es lo que la matemática sugiere apostar de verdad según tus probabilidades; suele ser mucho menos del 100%. Usa ½ Kelly como guía y baja el % los días de combinada arriesgada.</t>
  </si>
  <si>
    <t xml:space="preserve">¿QUÉ FRACCIÓN DE KELLY?  —  Combinada por día</t>
  </si>
  <si>
    <t xml:space="preserve">Apuestas una combinada cada día (16 días), arriesgando una fracción de Kelly de la banca en cada una. 200.000 mundiales simulados con TUS probabilidades, banca inicial S/100.</t>
  </si>
  <si>
    <t xml:space="preserve">Métrica</t>
  </si>
  <si>
    <t xml:space="preserve">½ Kelly (conservador)</t>
  </si>
  <si>
    <t xml:space="preserve">Banca típica (mediana)</t>
  </si>
  <si>
    <t xml:space="preserve">S/ 219</t>
  </si>
  <si>
    <t xml:space="preserve">S/ 260</t>
  </si>
  <si>
    <t xml:space="preserve">S/ 314</t>
  </si>
  <si>
    <t xml:space="preserve">Prob. de terminar ganando</t>
  </si>
  <si>
    <t xml:space="preserve">88.2 %</t>
  </si>
  <si>
    <t xml:space="preserve">85.6 %</t>
  </si>
  <si>
    <t xml:space="preserve">78.6 %</t>
  </si>
  <si>
    <t xml:space="preserve">Prob. de quebrar (perder 90%+)</t>
  </si>
  <si>
    <t xml:space="preserve">0.0 %</t>
  </si>
  <si>
    <t xml:space="preserve">1.1 %</t>
  </si>
  <si>
    <t xml:space="preserve">Peor caso (P10)</t>
  </si>
  <si>
    <t xml:space="preserve">S/ 93</t>
  </si>
  <si>
    <t xml:space="preserve">S/ 81</t>
  </si>
  <si>
    <t xml:space="preserve">S/ 48</t>
  </si>
  <si>
    <t xml:space="preserve">Mejor caso (P90)</t>
  </si>
  <si>
    <t xml:space="preserve">S/ 462</t>
  </si>
  <si>
    <t xml:space="preserve">S/ 706</t>
  </si>
  <si>
    <t xml:space="preserve">S/ 1420</t>
  </si>
  <si>
    <t xml:space="preserve">Cómo leerlo</t>
  </si>
  <si>
    <t xml:space="preserve">•  Combinada por día = más riesgo por apuesta que ir partido a partido (multiplicas varias probabilidades), por eso las medianas son algo más bajas y la varianza más alta.</t>
  </si>
  <si>
    <t xml:space="preserve">•  ½ Kelly: el más estable. Mediana ~S/219, 88% de ganar, 0% de quiebra. El techo más bajo (P90 S/462).</t>
  </si>
  <si>
    <t xml:space="preserve">•  ⅔ Kelly: sube la mediana a ~S/260 y el mejor caso a ~S/706, sin riesgo de quiebra. Buen balance moderado-agresivo.</t>
  </si>
  <si>
    <t xml:space="preserve">•  Kelly 100%: mayor crecimiento (mediana ~S/314, P90 S/1.420) pero asoma 1,1% de quiebra y el peor caso cae a S/48.</t>
  </si>
  <si>
    <t xml:space="preserve">•  Comparado con la Escalera partido a partido, aquí TODO rinde un poco menos: agrupar partidos en una combinada concentra el riesgo. Si quieres máxima estabilidad, la escalera gana; si quieres menos apuestas y más adrenalina, la combinada por día.</t>
  </si>
  <si>
    <t xml:space="preserve">Recomendación: ⅔ Kelly para tu perfil 'entre moderado y agresivo'. La columna ½ Kelly de la hoja por día ya te da el monto; multiplícalo por 1,33 si quieres ⅔ Kelly.</t>
  </si>
  <si>
    <t xml:space="preserve">½ KELLY — GANA TODO  ·  combinada por día, asumiendo que GANAS cada día</t>
  </si>
  <si>
    <t xml:space="preserve">Cada día apuestas SOLO la fracción de Kelly de la banca (no el 100%). El resto queda guardado. Si ganas, sumas la ganancia y rueda al día siguiente.</t>
  </si>
  <si>
    <t xml:space="preserve">Banca inicial:</t>
  </si>
  <si>
    <t xml:space="preserve">Día</t>
  </si>
  <si>
    <t xml:space="preserve">Fecha</t>
  </si>
  <si>
    <t xml:space="preserve">Cuota comb</t>
  </si>
  <si>
    <t xml:space="preserve">Prob comb</t>
  </si>
  <si>
    <t xml:space="preserve">Kelly %</t>
  </si>
  <si>
    <t xml:space="preserve">Banca inicio</t>
  </si>
  <si>
    <t xml:space="preserve">Apostado</t>
  </si>
  <si>
    <t xml:space="preserve">Ganancia</t>
  </si>
  <si>
    <t xml:space="preserve">Banca cierre</t>
  </si>
  <si>
    <t xml:space="preserve">11/06</t>
  </si>
  <si>
    <t xml:space="preserve">13/06</t>
  </si>
  <si>
    <t xml:space="preserve">14/06</t>
  </si>
  <si>
    <t xml:space="preserve">15/06</t>
  </si>
  <si>
    <t xml:space="preserve">16/06</t>
  </si>
  <si>
    <t xml:space="preserve">17/06</t>
  </si>
  <si>
    <t xml:space="preserve">18/06</t>
  </si>
  <si>
    <t xml:space="preserve">19/06</t>
  </si>
  <si>
    <t xml:space="preserve">20/06</t>
  </si>
  <si>
    <t xml:space="preserve">21/06</t>
  </si>
  <si>
    <t xml:space="preserve">22/06</t>
  </si>
  <si>
    <t xml:space="preserve">23/06</t>
  </si>
  <si>
    <t xml:space="preserve">24/06</t>
  </si>
  <si>
    <t xml:space="preserve">25/06</t>
  </si>
  <si>
    <t xml:space="preserve">26/06</t>
  </si>
  <si>
    <t xml:space="preserve">27/06</t>
  </si>
  <si>
    <t xml:space="preserve">BANCA FINAL (si ganas los 16 días)</t>
  </si>
  <si>
    <t xml:space="preserve">Nota: 'Apostado' es solo la fracción Kelly; el resto de la banca no se arriesga ese día. Por eso crece más lento que apostar el 100%, pero te protege cuando un día falla (este cuadro asume que ganas todos).</t>
  </si>
  <si>
    <t xml:space="preserve">⅔ KELLY — GANA TODO  ·  combinada por día, asumiendo que GANAS cada día</t>
  </si>
  <si>
    <t xml:space="preserve">KELLY 100% — GANA TODO  ·  combinada por día, asumiendo que GANAS cada día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</si>
</sst>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&quot;S/ &quot;#,##0"/>
    <numFmt numFmtId="166" formatCode="0.00"/>
    <numFmt numFmtId="167" formatCode="0%"/>
    <numFmt numFmtId="168" formatCode="0.0%"/>
    <numFmt numFmtId="169" formatCode="&quot;S/ &quot;#,##0.00"/>
    <numFmt numFmtId="170" formatCode="0"/>
    <numFmt numFmtId="171" formatCode="0.00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BF9000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b val="true"/>
      <sz val="10"/>
      <color rgb="FF843C0C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6E6E"/>
      </patternFill>
    </fill>
    <fill>
      <patternFill patternType="solid">
        <fgColor rgb="FFDDEBF7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1F6E6E"/>
        <bgColor rgb="FF008080"/>
      </patternFill>
    </fill>
    <fill>
      <patternFill patternType="solid">
        <fgColor rgb="FFF2F2F2"/>
        <bgColor rgb="FFFFFDE7"/>
      </patternFill>
    </fill>
    <fill>
      <patternFill patternType="solid">
        <fgColor rgb="FFFFFFFF"/>
        <bgColor rgb="FFFFFDE7"/>
      </patternFill>
    </fill>
    <fill>
      <patternFill patternType="solid">
        <fgColor rgb="FFFFFDE7"/>
        <bgColor rgb="FFFFFFFF"/>
      </patternFill>
    </fill>
    <fill>
      <patternFill patternType="solid">
        <fgColor rgb="FFBF9000"/>
        <bgColor rgb="FFFF6600"/>
      </patternFill>
    </fill>
    <fill>
      <patternFill patternType="solid">
        <fgColor rgb="FFC6EFCE"/>
        <bgColor rgb="FFDDEBF7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7F6000"/>
      <rgbColor rgb="FF800080"/>
      <rgbColor rgb="FF1F6E6E"/>
      <rgbColor rgb="FFBFBFBF"/>
      <rgbColor rgb="FF808080"/>
      <rgbColor rgb="FF9999FF"/>
      <rgbColor rgb="FF993366"/>
      <rgbColor rgb="FFFFFDE7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2C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843C0C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8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3"/>
  </cols>
  <sheetData>
    <row r="2" customFormat="false" ht="27.75" hidden="false" customHeight="true" outlineLevel="0" collapsed="false">
      <c r="B2" s="2" t="s">
        <v>0</v>
      </c>
      <c r="C2" s="2"/>
      <c r="D2" s="2"/>
    </row>
    <row r="3" customFormat="false" ht="30" hidden="false" customHeight="true" outlineLevel="0" collapsed="false">
      <c r="B3" s="3" t="s">
        <v>1</v>
      </c>
      <c r="C3" s="3"/>
      <c r="D3" s="3"/>
    </row>
    <row r="5" customFormat="false" ht="15" hidden="false" customHeight="true" outlineLevel="0" collapsed="false">
      <c r="B5" s="4" t="s">
        <v>2</v>
      </c>
      <c r="C5" s="4"/>
      <c r="D5" s="5" t="n">
        <v>100</v>
      </c>
    </row>
    <row r="7" customFormat="false" ht="19.5" hidden="false" customHeight="true" outlineLevel="0" collapsed="false">
      <c r="B7" s="6" t="s">
        <v>3</v>
      </c>
      <c r="C7" s="6"/>
      <c r="D7" s="6"/>
    </row>
    <row r="8" customFormat="false" ht="15" hidden="false" customHeight="true" outlineLevel="0" collapsed="false">
      <c r="B8" s="7" t="s">
        <v>4</v>
      </c>
      <c r="C8" s="7" t="s">
        <v>5</v>
      </c>
      <c r="D8" s="7" t="s">
        <v>6</v>
      </c>
    </row>
    <row r="9" customFormat="false" ht="15" hidden="false" customHeight="true" outlineLevel="0" collapsed="false">
      <c r="B9" s="8" t="s">
        <v>7</v>
      </c>
      <c r="C9" s="9" t="n">
        <v>1.45</v>
      </c>
      <c r="D9" s="10" t="n">
        <v>0.75</v>
      </c>
    </row>
    <row r="10" customFormat="false" ht="15" hidden="false" customHeight="true" outlineLevel="0" collapsed="false">
      <c r="B10" s="11" t="s">
        <v>8</v>
      </c>
      <c r="C10" s="11"/>
      <c r="D10" s="12" t="n">
        <f aca="false">PRODUCT(C9)</f>
        <v>1.45</v>
      </c>
    </row>
    <row r="11" customFormat="false" ht="15" hidden="false" customHeight="true" outlineLevel="0" collapsed="false">
      <c r="B11" s="11" t="s">
        <v>9</v>
      </c>
      <c r="C11" s="11"/>
      <c r="D11" s="13" t="n">
        <f aca="false">PRODUCT(D9)</f>
        <v>0.75</v>
      </c>
    </row>
    <row r="12" customFormat="false" ht="15" hidden="false" customHeight="true" outlineLevel="0" collapsed="false">
      <c r="B12" s="11" t="s">
        <v>10</v>
      </c>
      <c r="C12" s="11"/>
      <c r="D12" s="14" t="n">
        <f aca="false">$D$5</f>
        <v>100</v>
      </c>
    </row>
    <row r="13" customFormat="false" ht="15" hidden="false" customHeight="true" outlineLevel="0" collapsed="false">
      <c r="B13" s="15" t="s">
        <v>11</v>
      </c>
      <c r="C13" s="16" t="s">
        <v>12</v>
      </c>
      <c r="D13" s="16" t="s">
        <v>13</v>
      </c>
    </row>
    <row r="14" customFormat="false" ht="15" hidden="false" customHeight="true" outlineLevel="0" collapsed="false">
      <c r="B14" s="17" t="s">
        <v>14</v>
      </c>
      <c r="C14" s="18" t="n">
        <f aca="false">MAX(0,MIN(1,((D11*D10-1)/(D10-1))*0.5))</f>
        <v>0.0972222222222221</v>
      </c>
      <c r="D14" s="19" t="n">
        <f aca="false">D12*C14</f>
        <v>9.72222222222221</v>
      </c>
    </row>
    <row r="15" customFormat="false" ht="15" hidden="false" customHeight="true" outlineLevel="0" collapsed="false">
      <c r="B15" s="17" t="s">
        <v>15</v>
      </c>
      <c r="C15" s="18" t="n">
        <f aca="false">MAX(0,MIN(1,((D11*D10-1)/(D10-1))*0.666666666666667))</f>
        <v>0.12962962962963</v>
      </c>
      <c r="D15" s="19" t="n">
        <f aca="false">D12*C15</f>
        <v>12.962962962963</v>
      </c>
    </row>
    <row r="16" customFormat="false" ht="15" hidden="false" customHeight="true" outlineLevel="0" collapsed="false">
      <c r="B16" s="17" t="s">
        <v>16</v>
      </c>
      <c r="C16" s="18" t="n">
        <f aca="false">MAX(0,MIN(1,((D11*D10-1)/(D10-1))*1))</f>
        <v>0.194444444444444</v>
      </c>
      <c r="D16" s="19" t="n">
        <f aca="false">D12*C16</f>
        <v>19.4444444444444</v>
      </c>
    </row>
    <row r="17" customFormat="false" ht="15" hidden="false" customHeight="true" outlineLevel="0" collapsed="false">
      <c r="B17" s="11" t="s">
        <v>17</v>
      </c>
      <c r="C17" s="11"/>
      <c r="D17" s="20" t="n">
        <v>1</v>
      </c>
    </row>
    <row r="18" customFormat="false" ht="15" hidden="false" customHeight="true" outlineLevel="0" collapsed="false">
      <c r="B18" s="11" t="s">
        <v>18</v>
      </c>
      <c r="C18" s="11"/>
      <c r="D18" s="14" t="n">
        <f aca="false">D12*D17</f>
        <v>100</v>
      </c>
    </row>
    <row r="19" customFormat="false" ht="15" hidden="false" customHeight="true" outlineLevel="0" collapsed="false">
      <c r="B19" s="11" t="s">
        <v>19</v>
      </c>
      <c r="C19" s="11"/>
      <c r="D19" s="21" t="n">
        <v>1</v>
      </c>
    </row>
    <row r="20" customFormat="false" ht="15" hidden="false" customHeight="true" outlineLevel="0" collapsed="false">
      <c r="B20" s="11" t="s">
        <v>20</v>
      </c>
      <c r="C20" s="11"/>
      <c r="D20" s="14" t="n">
        <f aca="false">IF(D19=1,D18*D10,0)</f>
        <v>145</v>
      </c>
    </row>
    <row r="21" customFormat="false" ht="15" hidden="false" customHeight="true" outlineLevel="0" collapsed="false">
      <c r="B21" s="22" t="s">
        <v>21</v>
      </c>
      <c r="C21" s="22"/>
      <c r="D21" s="23" t="n">
        <f aca="false">D12-D18+D20</f>
        <v>145</v>
      </c>
    </row>
    <row r="23" customFormat="false" ht="19.5" hidden="false" customHeight="true" outlineLevel="0" collapsed="false">
      <c r="B23" s="6" t="s">
        <v>22</v>
      </c>
      <c r="C23" s="6"/>
      <c r="D23" s="6"/>
    </row>
    <row r="24" customFormat="false" ht="15" hidden="false" customHeight="true" outlineLevel="0" collapsed="false">
      <c r="B24" s="7" t="s">
        <v>4</v>
      </c>
      <c r="C24" s="7" t="s">
        <v>5</v>
      </c>
      <c r="D24" s="7" t="s">
        <v>6</v>
      </c>
    </row>
    <row r="25" customFormat="false" ht="15" hidden="false" customHeight="true" outlineLevel="0" collapsed="false">
      <c r="B25" s="8" t="s">
        <v>23</v>
      </c>
      <c r="C25" s="9" t="n">
        <v>1.26</v>
      </c>
      <c r="D25" s="10" t="n">
        <v>0.87</v>
      </c>
    </row>
    <row r="26" customFormat="false" ht="15" hidden="false" customHeight="true" outlineLevel="0" collapsed="false">
      <c r="B26" s="8" t="s">
        <v>24</v>
      </c>
      <c r="C26" s="9" t="n">
        <v>1.8</v>
      </c>
      <c r="D26" s="10" t="n">
        <v>0.78</v>
      </c>
    </row>
    <row r="27" customFormat="false" ht="15" hidden="false" customHeight="true" outlineLevel="0" collapsed="false">
      <c r="B27" s="11" t="s">
        <v>8</v>
      </c>
      <c r="C27" s="11"/>
      <c r="D27" s="12" t="n">
        <f aca="false">PRODUCT(C25:C26)</f>
        <v>2.268</v>
      </c>
    </row>
    <row r="28" customFormat="false" ht="15" hidden="false" customHeight="true" outlineLevel="0" collapsed="false">
      <c r="B28" s="11" t="s">
        <v>9</v>
      </c>
      <c r="C28" s="11"/>
      <c r="D28" s="13" t="n">
        <f aca="false">PRODUCT(D25:D26)</f>
        <v>0.6786</v>
      </c>
    </row>
    <row r="29" customFormat="false" ht="15" hidden="false" customHeight="true" outlineLevel="0" collapsed="false">
      <c r="B29" s="11" t="s">
        <v>10</v>
      </c>
      <c r="C29" s="11"/>
      <c r="D29" s="14" t="n">
        <f aca="false">$D$21</f>
        <v>145</v>
      </c>
    </row>
    <row r="30" customFormat="false" ht="15" hidden="false" customHeight="true" outlineLevel="0" collapsed="false">
      <c r="B30" s="15" t="s">
        <v>11</v>
      </c>
      <c r="C30" s="16" t="s">
        <v>12</v>
      </c>
      <c r="D30" s="16" t="s">
        <v>13</v>
      </c>
    </row>
    <row r="31" customFormat="false" ht="15" hidden="false" customHeight="true" outlineLevel="0" collapsed="false">
      <c r="B31" s="17" t="s">
        <v>14</v>
      </c>
      <c r="C31" s="18" t="n">
        <f aca="false">MAX(0,MIN(1,((D28*D27-1)/(D27-1))*0.5))</f>
        <v>0.212564984227129</v>
      </c>
      <c r="D31" s="19" t="n">
        <f aca="false">D29*C31</f>
        <v>30.8219227129338</v>
      </c>
    </row>
    <row r="32" customFormat="false" ht="15" hidden="false" customHeight="true" outlineLevel="0" collapsed="false">
      <c r="B32" s="17" t="s">
        <v>15</v>
      </c>
      <c r="C32" s="18" t="n">
        <f aca="false">MAX(0,MIN(1,((D28*D27-1)/(D27-1))*0.666666666666667))</f>
        <v>0.283419978969506</v>
      </c>
      <c r="D32" s="19" t="n">
        <f aca="false">D29*C32</f>
        <v>41.0958969505784</v>
      </c>
    </row>
    <row r="33" customFormat="false" ht="15" hidden="false" customHeight="true" outlineLevel="0" collapsed="false">
      <c r="B33" s="17" t="s">
        <v>16</v>
      </c>
      <c r="C33" s="18" t="n">
        <f aca="false">MAX(0,MIN(1,((D28*D27-1)/(D27-1))*1))</f>
        <v>0.425129968454259</v>
      </c>
      <c r="D33" s="19" t="n">
        <f aca="false">D29*C33</f>
        <v>61.6438454258675</v>
      </c>
    </row>
    <row r="34" customFormat="false" ht="15" hidden="false" customHeight="true" outlineLevel="0" collapsed="false">
      <c r="B34" s="11" t="s">
        <v>17</v>
      </c>
      <c r="C34" s="11"/>
      <c r="D34" s="20" t="n">
        <v>1</v>
      </c>
    </row>
    <row r="35" customFormat="false" ht="15" hidden="false" customHeight="true" outlineLevel="0" collapsed="false">
      <c r="B35" s="11" t="s">
        <v>18</v>
      </c>
      <c r="C35" s="11"/>
      <c r="D35" s="14" t="n">
        <f aca="false">D29*D34</f>
        <v>145</v>
      </c>
    </row>
    <row r="36" customFormat="false" ht="15" hidden="false" customHeight="true" outlineLevel="0" collapsed="false">
      <c r="B36" s="11" t="s">
        <v>19</v>
      </c>
      <c r="C36" s="11"/>
      <c r="D36" s="21" t="n">
        <v>1</v>
      </c>
    </row>
    <row r="37" customFormat="false" ht="15" hidden="false" customHeight="true" outlineLevel="0" collapsed="false">
      <c r="B37" s="11" t="s">
        <v>20</v>
      </c>
      <c r="C37" s="11"/>
      <c r="D37" s="14" t="n">
        <f aca="false">IF(D36=1,D35*D27,0)</f>
        <v>328.86</v>
      </c>
    </row>
    <row r="38" customFormat="false" ht="15" hidden="false" customHeight="true" outlineLevel="0" collapsed="false">
      <c r="B38" s="22" t="s">
        <v>21</v>
      </c>
      <c r="C38" s="22"/>
      <c r="D38" s="23" t="n">
        <f aca="false">D29-D35+D37</f>
        <v>328.86</v>
      </c>
    </row>
    <row r="40" customFormat="false" ht="19.5" hidden="false" customHeight="true" outlineLevel="0" collapsed="false">
      <c r="B40" s="6" t="s">
        <v>25</v>
      </c>
      <c r="C40" s="6"/>
      <c r="D40" s="6"/>
    </row>
    <row r="41" customFormat="false" ht="15" hidden="false" customHeight="true" outlineLevel="0" collapsed="false">
      <c r="B41" s="7" t="s">
        <v>4</v>
      </c>
      <c r="C41" s="7" t="s">
        <v>5</v>
      </c>
      <c r="D41" s="7" t="s">
        <v>6</v>
      </c>
    </row>
    <row r="42" customFormat="false" ht="15" hidden="false" customHeight="true" outlineLevel="0" collapsed="false">
      <c r="B42" s="8" t="s">
        <v>26</v>
      </c>
      <c r="C42" s="9" t="n">
        <v>1.05</v>
      </c>
      <c r="D42" s="10" t="n">
        <v>0.98</v>
      </c>
    </row>
    <row r="43" customFormat="false" ht="15" hidden="false" customHeight="true" outlineLevel="0" collapsed="false">
      <c r="B43" s="11" t="s">
        <v>8</v>
      </c>
      <c r="C43" s="11"/>
      <c r="D43" s="12" t="n">
        <f aca="false">PRODUCT(C42)</f>
        <v>1.05</v>
      </c>
    </row>
    <row r="44" customFormat="false" ht="15" hidden="false" customHeight="true" outlineLevel="0" collapsed="false">
      <c r="B44" s="11" t="s">
        <v>9</v>
      </c>
      <c r="C44" s="11"/>
      <c r="D44" s="13" t="n">
        <f aca="false">PRODUCT(D42)</f>
        <v>0.98</v>
      </c>
    </row>
    <row r="45" customFormat="false" ht="15" hidden="false" customHeight="true" outlineLevel="0" collapsed="false">
      <c r="B45" s="11" t="s">
        <v>10</v>
      </c>
      <c r="C45" s="11"/>
      <c r="D45" s="14" t="n">
        <f aca="false">$D$38</f>
        <v>328.86</v>
      </c>
    </row>
    <row r="46" customFormat="false" ht="15" hidden="false" customHeight="true" outlineLevel="0" collapsed="false">
      <c r="B46" s="15" t="s">
        <v>11</v>
      </c>
      <c r="C46" s="16" t="s">
        <v>12</v>
      </c>
      <c r="D46" s="16" t="s">
        <v>13</v>
      </c>
    </row>
    <row r="47" customFormat="false" ht="15" hidden="false" customHeight="true" outlineLevel="0" collapsed="false">
      <c r="B47" s="17" t="s">
        <v>14</v>
      </c>
      <c r="C47" s="18" t="n">
        <f aca="false">MAX(0,MIN(1,((D44*D43-1)/(D43-1))*0.5))</f>
        <v>0.289999999999999</v>
      </c>
      <c r="D47" s="19" t="n">
        <f aca="false">D45*C47</f>
        <v>95.3693999999996</v>
      </c>
    </row>
    <row r="48" customFormat="false" ht="15" hidden="false" customHeight="true" outlineLevel="0" collapsed="false">
      <c r="B48" s="17" t="s">
        <v>15</v>
      </c>
      <c r="C48" s="18" t="n">
        <f aca="false">MAX(0,MIN(1,((D44*D43-1)/(D43-1))*0.666666666666667))</f>
        <v>0.386666666666665</v>
      </c>
      <c r="D48" s="19" t="n">
        <f aca="false">D45*C48</f>
        <v>127.1592</v>
      </c>
    </row>
    <row r="49" customFormat="false" ht="15" hidden="false" customHeight="true" outlineLevel="0" collapsed="false">
      <c r="B49" s="17" t="s">
        <v>16</v>
      </c>
      <c r="C49" s="18" t="n">
        <f aca="false">MAX(0,MIN(1,((D44*D43-1)/(D43-1))*1))</f>
        <v>0.579999999999998</v>
      </c>
      <c r="D49" s="19" t="n">
        <f aca="false">D45*C49</f>
        <v>190.738799999999</v>
      </c>
    </row>
    <row r="50" customFormat="false" ht="15" hidden="false" customHeight="true" outlineLevel="0" collapsed="false">
      <c r="B50" s="11" t="s">
        <v>17</v>
      </c>
      <c r="C50" s="11"/>
      <c r="D50" s="20" t="n">
        <v>1</v>
      </c>
    </row>
    <row r="51" customFormat="false" ht="15" hidden="false" customHeight="true" outlineLevel="0" collapsed="false">
      <c r="B51" s="11" t="s">
        <v>18</v>
      </c>
      <c r="C51" s="11"/>
      <c r="D51" s="14" t="n">
        <f aca="false">D45*D50</f>
        <v>328.86</v>
      </c>
    </row>
    <row r="52" customFormat="false" ht="15" hidden="false" customHeight="true" outlineLevel="0" collapsed="false">
      <c r="B52" s="11" t="s">
        <v>19</v>
      </c>
      <c r="C52" s="11"/>
      <c r="D52" s="21" t="n">
        <v>1</v>
      </c>
    </row>
    <row r="53" customFormat="false" ht="15" hidden="false" customHeight="true" outlineLevel="0" collapsed="false">
      <c r="B53" s="11" t="s">
        <v>20</v>
      </c>
      <c r="C53" s="11"/>
      <c r="D53" s="14" t="n">
        <f aca="false">IF(D52=1,D51*D43,0)</f>
        <v>345.303</v>
      </c>
    </row>
    <row r="54" customFormat="false" ht="15" hidden="false" customHeight="true" outlineLevel="0" collapsed="false">
      <c r="B54" s="22" t="s">
        <v>21</v>
      </c>
      <c r="C54" s="22"/>
      <c r="D54" s="23" t="n">
        <f aca="false">D45-D51+D53</f>
        <v>345.303</v>
      </c>
    </row>
    <row r="56" customFormat="false" ht="19.5" hidden="false" customHeight="true" outlineLevel="0" collapsed="false">
      <c r="B56" s="6" t="s">
        <v>27</v>
      </c>
      <c r="C56" s="6"/>
      <c r="D56" s="6"/>
    </row>
    <row r="57" customFormat="false" ht="15" hidden="false" customHeight="true" outlineLevel="0" collapsed="false">
      <c r="B57" s="7" t="s">
        <v>4</v>
      </c>
      <c r="C57" s="7" t="s">
        <v>5</v>
      </c>
      <c r="D57" s="7" t="s">
        <v>6</v>
      </c>
    </row>
    <row r="58" customFormat="false" ht="15" hidden="false" customHeight="true" outlineLevel="0" collapsed="false">
      <c r="B58" s="8" t="s">
        <v>28</v>
      </c>
      <c r="C58" s="9" t="n">
        <v>1.1</v>
      </c>
      <c r="D58" s="10" t="n">
        <v>0.98</v>
      </c>
    </row>
    <row r="59" customFormat="false" ht="15" hidden="false" customHeight="true" outlineLevel="0" collapsed="false">
      <c r="B59" s="8" t="s">
        <v>29</v>
      </c>
      <c r="C59" s="9" t="n">
        <v>1.5</v>
      </c>
      <c r="D59" s="10" t="n">
        <v>0.6667</v>
      </c>
    </row>
    <row r="60" customFormat="false" ht="15" hidden="false" customHeight="true" outlineLevel="0" collapsed="false">
      <c r="B60" s="11" t="s">
        <v>8</v>
      </c>
      <c r="C60" s="11"/>
      <c r="D60" s="12" t="n">
        <f aca="false">PRODUCT(C58:C59)</f>
        <v>1.65</v>
      </c>
    </row>
    <row r="61" customFormat="false" ht="15" hidden="false" customHeight="true" outlineLevel="0" collapsed="false">
      <c r="B61" s="11" t="s">
        <v>9</v>
      </c>
      <c r="C61" s="11"/>
      <c r="D61" s="13" t="n">
        <f aca="false">PRODUCT(D58:D59)</f>
        <v>0.653366</v>
      </c>
    </row>
    <row r="62" customFormat="false" ht="15" hidden="false" customHeight="true" outlineLevel="0" collapsed="false">
      <c r="B62" s="11" t="s">
        <v>10</v>
      </c>
      <c r="C62" s="11"/>
      <c r="D62" s="14" t="n">
        <f aca="false">$D$54</f>
        <v>345.303</v>
      </c>
    </row>
    <row r="63" customFormat="false" ht="15" hidden="false" customHeight="true" outlineLevel="0" collapsed="false">
      <c r="B63" s="15" t="s">
        <v>11</v>
      </c>
      <c r="C63" s="16" t="s">
        <v>12</v>
      </c>
      <c r="D63" s="16" t="s">
        <v>13</v>
      </c>
    </row>
    <row r="64" customFormat="false" ht="15" hidden="false" customHeight="true" outlineLevel="0" collapsed="false">
      <c r="B64" s="17" t="s">
        <v>14</v>
      </c>
      <c r="C64" s="18" t="n">
        <f aca="false">MAX(0,MIN(1,((D61*D60-1)/(D60-1))*0.5))</f>
        <v>0.0600414615384615</v>
      </c>
      <c r="D64" s="19" t="n">
        <f aca="false">D62*C64</f>
        <v>20.7324967936154</v>
      </c>
    </row>
    <row r="65" customFormat="false" ht="15" hidden="false" customHeight="true" outlineLevel="0" collapsed="false">
      <c r="B65" s="17" t="s">
        <v>15</v>
      </c>
      <c r="C65" s="18" t="n">
        <f aca="false">MAX(0,MIN(1,((D61*D60-1)/(D60-1))*0.666666666666667))</f>
        <v>0.0800552820512821</v>
      </c>
      <c r="D65" s="19" t="n">
        <f aca="false">D62*C65</f>
        <v>27.6433290581539</v>
      </c>
    </row>
    <row r="66" customFormat="false" ht="15" hidden="false" customHeight="true" outlineLevel="0" collapsed="false">
      <c r="B66" s="17" t="s">
        <v>16</v>
      </c>
      <c r="C66" s="18" t="n">
        <f aca="false">MAX(0,MIN(1,((D61*D60-1)/(D60-1))*1))</f>
        <v>0.120082923076923</v>
      </c>
      <c r="D66" s="19" t="n">
        <f aca="false">D62*C66</f>
        <v>41.4649935872308</v>
      </c>
    </row>
    <row r="67" customFormat="false" ht="15" hidden="false" customHeight="true" outlineLevel="0" collapsed="false">
      <c r="B67" s="11" t="s">
        <v>17</v>
      </c>
      <c r="C67" s="11"/>
      <c r="D67" s="20" t="n">
        <v>1</v>
      </c>
    </row>
    <row r="68" customFormat="false" ht="15" hidden="false" customHeight="true" outlineLevel="0" collapsed="false">
      <c r="B68" s="11" t="s">
        <v>18</v>
      </c>
      <c r="C68" s="11"/>
      <c r="D68" s="14" t="n">
        <f aca="false">D62*D67</f>
        <v>345.303</v>
      </c>
    </row>
    <row r="69" customFormat="false" ht="15" hidden="false" customHeight="true" outlineLevel="0" collapsed="false">
      <c r="B69" s="11" t="s">
        <v>19</v>
      </c>
      <c r="C69" s="11"/>
      <c r="D69" s="21" t="n">
        <v>1</v>
      </c>
    </row>
    <row r="70" customFormat="false" ht="15" hidden="false" customHeight="true" outlineLevel="0" collapsed="false">
      <c r="B70" s="11" t="s">
        <v>20</v>
      </c>
      <c r="C70" s="11"/>
      <c r="D70" s="14" t="n">
        <f aca="false">IF(D69=1,D68*D60,0)</f>
        <v>569.74995</v>
      </c>
    </row>
    <row r="71" customFormat="false" ht="15" hidden="false" customHeight="true" outlineLevel="0" collapsed="false">
      <c r="B71" s="22" t="s">
        <v>21</v>
      </c>
      <c r="C71" s="22"/>
      <c r="D71" s="23" t="n">
        <f aca="false">D62-D68+D70</f>
        <v>569.74995</v>
      </c>
    </row>
    <row r="73" customFormat="false" ht="19.5" hidden="false" customHeight="true" outlineLevel="0" collapsed="false">
      <c r="B73" s="6" t="s">
        <v>30</v>
      </c>
      <c r="C73" s="6"/>
      <c r="D73" s="6"/>
    </row>
    <row r="74" customFormat="false" ht="15" hidden="false" customHeight="true" outlineLevel="0" collapsed="false">
      <c r="B74" s="7" t="s">
        <v>4</v>
      </c>
      <c r="C74" s="7" t="s">
        <v>5</v>
      </c>
      <c r="D74" s="7" t="s">
        <v>6</v>
      </c>
    </row>
    <row r="75" customFormat="false" ht="15" hidden="false" customHeight="true" outlineLevel="0" collapsed="false">
      <c r="B75" s="8" t="s">
        <v>31</v>
      </c>
      <c r="C75" s="9" t="n">
        <v>1.47</v>
      </c>
      <c r="D75" s="10" t="n">
        <v>0.71</v>
      </c>
    </row>
    <row r="76" customFormat="false" ht="15" hidden="false" customHeight="true" outlineLevel="0" collapsed="false">
      <c r="B76" s="8" t="s">
        <v>32</v>
      </c>
      <c r="C76" s="9" t="n">
        <v>1.23</v>
      </c>
      <c r="D76" s="10" t="n">
        <v>0.87</v>
      </c>
    </row>
    <row r="77" customFormat="false" ht="15" hidden="false" customHeight="true" outlineLevel="0" collapsed="false">
      <c r="B77" s="8" t="s">
        <v>33</v>
      </c>
      <c r="C77" s="9" t="n">
        <v>1.34</v>
      </c>
      <c r="D77" s="10" t="n">
        <v>0.82</v>
      </c>
    </row>
    <row r="78" customFormat="false" ht="15" hidden="false" customHeight="true" outlineLevel="0" collapsed="false">
      <c r="B78" s="11" t="s">
        <v>8</v>
      </c>
      <c r="C78" s="11"/>
      <c r="D78" s="12" t="n">
        <f aca="false">PRODUCT(C75:C77)</f>
        <v>2.422854</v>
      </c>
    </row>
    <row r="79" customFormat="false" ht="15" hidden="false" customHeight="true" outlineLevel="0" collapsed="false">
      <c r="B79" s="11" t="s">
        <v>9</v>
      </c>
      <c r="C79" s="11"/>
      <c r="D79" s="13" t="n">
        <f aca="false">PRODUCT(D75:D77)</f>
        <v>0.506514</v>
      </c>
    </row>
    <row r="80" customFormat="false" ht="15" hidden="false" customHeight="true" outlineLevel="0" collapsed="false">
      <c r="B80" s="11" t="s">
        <v>10</v>
      </c>
      <c r="C80" s="11"/>
      <c r="D80" s="14" t="n">
        <f aca="false">$D$71</f>
        <v>569.74995</v>
      </c>
    </row>
    <row r="81" customFormat="false" ht="15" hidden="false" customHeight="true" outlineLevel="0" collapsed="false">
      <c r="B81" s="15" t="s">
        <v>11</v>
      </c>
      <c r="C81" s="16" t="s">
        <v>12</v>
      </c>
      <c r="D81" s="16" t="s">
        <v>13</v>
      </c>
    </row>
    <row r="82" customFormat="false" ht="15" hidden="false" customHeight="true" outlineLevel="0" collapsed="false">
      <c r="B82" s="17" t="s">
        <v>14</v>
      </c>
      <c r="C82" s="18" t="n">
        <f aca="false">MAX(0,MIN(1,((D79*D78-1)/(D78-1))*0.5))</f>
        <v>0.0798428619366427</v>
      </c>
      <c r="D82" s="19" t="n">
        <f aca="false">D80*C82</f>
        <v>45.4904665962591</v>
      </c>
    </row>
    <row r="83" customFormat="false" ht="15" hidden="false" customHeight="true" outlineLevel="0" collapsed="false">
      <c r="B83" s="17" t="s">
        <v>15</v>
      </c>
      <c r="C83" s="18" t="n">
        <f aca="false">MAX(0,MIN(1,((D79*D78-1)/(D78-1))*0.666666666666667))</f>
        <v>0.106457149248857</v>
      </c>
      <c r="D83" s="19" t="n">
        <f aca="false">D80*C83</f>
        <v>60.6539554616789</v>
      </c>
    </row>
    <row r="84" customFormat="false" ht="15" hidden="false" customHeight="true" outlineLevel="0" collapsed="false">
      <c r="B84" s="17" t="s">
        <v>16</v>
      </c>
      <c r="C84" s="18" t="n">
        <f aca="false">MAX(0,MIN(1,((D79*D78-1)/(D78-1))*1))</f>
        <v>0.159685723873285</v>
      </c>
      <c r="D84" s="19" t="n">
        <f aca="false">D80*C84</f>
        <v>90.9809331925182</v>
      </c>
    </row>
    <row r="85" customFormat="false" ht="15" hidden="false" customHeight="true" outlineLevel="0" collapsed="false">
      <c r="B85" s="11" t="s">
        <v>17</v>
      </c>
      <c r="C85" s="11"/>
      <c r="D85" s="20" t="n">
        <v>1</v>
      </c>
    </row>
    <row r="86" customFormat="false" ht="15" hidden="false" customHeight="true" outlineLevel="0" collapsed="false">
      <c r="B86" s="11" t="s">
        <v>18</v>
      </c>
      <c r="C86" s="11"/>
      <c r="D86" s="14" t="n">
        <f aca="false">D80*D85</f>
        <v>569.74995</v>
      </c>
    </row>
    <row r="87" customFormat="false" ht="15" hidden="false" customHeight="true" outlineLevel="0" collapsed="false">
      <c r="B87" s="11" t="s">
        <v>19</v>
      </c>
      <c r="C87" s="11"/>
      <c r="D87" s="21" t="n">
        <v>1</v>
      </c>
    </row>
    <row r="88" customFormat="false" ht="15" hidden="false" customHeight="true" outlineLevel="0" collapsed="false">
      <c r="B88" s="11" t="s">
        <v>20</v>
      </c>
      <c r="C88" s="11"/>
      <c r="D88" s="14" t="n">
        <f aca="false">IF(D87=1,D86*D78,0)</f>
        <v>1380.4209453573</v>
      </c>
    </row>
    <row r="89" customFormat="false" ht="15" hidden="false" customHeight="true" outlineLevel="0" collapsed="false">
      <c r="B89" s="22" t="s">
        <v>21</v>
      </c>
      <c r="C89" s="22"/>
      <c r="D89" s="23" t="n">
        <f aca="false">D80-D86+D88</f>
        <v>1380.4209453573</v>
      </c>
    </row>
    <row r="91" customFormat="false" ht="19.5" hidden="false" customHeight="true" outlineLevel="0" collapsed="false">
      <c r="B91" s="6" t="s">
        <v>34</v>
      </c>
      <c r="C91" s="6"/>
      <c r="D91" s="6"/>
    </row>
    <row r="92" customFormat="false" ht="15" hidden="false" customHeight="true" outlineLevel="0" collapsed="false">
      <c r="B92" s="7" t="s">
        <v>4</v>
      </c>
      <c r="C92" s="7" t="s">
        <v>5</v>
      </c>
      <c r="D92" s="7" t="s">
        <v>6</v>
      </c>
    </row>
    <row r="93" customFormat="false" ht="15" hidden="false" customHeight="true" outlineLevel="0" collapsed="false">
      <c r="B93" s="8" t="s">
        <v>35</v>
      </c>
      <c r="C93" s="9" t="n">
        <v>1.28</v>
      </c>
      <c r="D93" s="10" t="n">
        <v>0.85</v>
      </c>
    </row>
    <row r="94" customFormat="false" ht="15" hidden="false" customHeight="true" outlineLevel="0" collapsed="false">
      <c r="B94" s="8" t="s">
        <v>36</v>
      </c>
      <c r="C94" s="9" t="n">
        <v>1.29</v>
      </c>
      <c r="D94" s="10" t="n">
        <v>0.8</v>
      </c>
    </row>
    <row r="95" customFormat="false" ht="15" hidden="false" customHeight="true" outlineLevel="0" collapsed="false">
      <c r="B95" s="8" t="s">
        <v>37</v>
      </c>
      <c r="C95" s="9" t="n">
        <v>1.42</v>
      </c>
      <c r="D95" s="10" t="n">
        <v>0.92</v>
      </c>
    </row>
    <row r="96" customFormat="false" ht="15" hidden="false" customHeight="true" outlineLevel="0" collapsed="false">
      <c r="B96" s="11" t="s">
        <v>8</v>
      </c>
      <c r="C96" s="11"/>
      <c r="D96" s="12" t="n">
        <f aca="false">PRODUCT(C93:C95)</f>
        <v>2.344704</v>
      </c>
    </row>
    <row r="97" customFormat="false" ht="15" hidden="false" customHeight="true" outlineLevel="0" collapsed="false">
      <c r="B97" s="11" t="s">
        <v>9</v>
      </c>
      <c r="C97" s="11"/>
      <c r="D97" s="13" t="n">
        <f aca="false">PRODUCT(D93:D95)</f>
        <v>0.6256</v>
      </c>
    </row>
    <row r="98" customFormat="false" ht="15" hidden="false" customHeight="true" outlineLevel="0" collapsed="false">
      <c r="B98" s="11" t="s">
        <v>10</v>
      </c>
      <c r="C98" s="11"/>
      <c r="D98" s="14" t="n">
        <f aca="false">$D$89</f>
        <v>1380.4209453573</v>
      </c>
    </row>
    <row r="99" customFormat="false" ht="15" hidden="false" customHeight="true" outlineLevel="0" collapsed="false">
      <c r="B99" s="15" t="s">
        <v>11</v>
      </c>
      <c r="C99" s="16" t="s">
        <v>12</v>
      </c>
      <c r="D99" s="16" t="s">
        <v>13</v>
      </c>
    </row>
    <row r="100" customFormat="false" ht="15" hidden="false" customHeight="true" outlineLevel="0" collapsed="false">
      <c r="B100" s="17" t="s">
        <v>14</v>
      </c>
      <c r="C100" s="18" t="n">
        <f aca="false">MAX(0,MIN(1,((D97*D96-1)/(D96-1))*0.5))</f>
        <v>0.173587206701252</v>
      </c>
      <c r="D100" s="19" t="n">
        <f aca="false">D98*C100</f>
        <v>239.623415976475</v>
      </c>
    </row>
    <row r="101" customFormat="false" ht="15" hidden="false" customHeight="true" outlineLevel="0" collapsed="false">
      <c r="B101" s="17" t="s">
        <v>15</v>
      </c>
      <c r="C101" s="18" t="n">
        <f aca="false">MAX(0,MIN(1,((D97*D96-1)/(D96-1))*0.666666666666667))</f>
        <v>0.231449608935002</v>
      </c>
      <c r="D101" s="19" t="n">
        <f aca="false">D98*C101</f>
        <v>319.497887968634</v>
      </c>
    </row>
    <row r="102" customFormat="false" ht="15" hidden="false" customHeight="true" outlineLevel="0" collapsed="false">
      <c r="B102" s="17" t="s">
        <v>16</v>
      </c>
      <c r="C102" s="18" t="n">
        <f aca="false">MAX(0,MIN(1,((D97*D96-1)/(D96-1))*1))</f>
        <v>0.347174413402504</v>
      </c>
      <c r="D102" s="19" t="n">
        <f aca="false">D98*C102</f>
        <v>479.24683195295</v>
      </c>
    </row>
    <row r="103" customFormat="false" ht="15" hidden="false" customHeight="true" outlineLevel="0" collapsed="false">
      <c r="B103" s="11" t="s">
        <v>17</v>
      </c>
      <c r="C103" s="11"/>
      <c r="D103" s="20" t="n">
        <v>1</v>
      </c>
    </row>
    <row r="104" customFormat="false" ht="15" hidden="false" customHeight="true" outlineLevel="0" collapsed="false">
      <c r="B104" s="11" t="s">
        <v>18</v>
      </c>
      <c r="C104" s="11"/>
      <c r="D104" s="14" t="n">
        <f aca="false">D98*D103</f>
        <v>1380.4209453573</v>
      </c>
    </row>
    <row r="105" customFormat="false" ht="15" hidden="false" customHeight="true" outlineLevel="0" collapsed="false">
      <c r="B105" s="11" t="s">
        <v>19</v>
      </c>
      <c r="C105" s="11"/>
      <c r="D105" s="21" t="n">
        <v>1</v>
      </c>
    </row>
    <row r="106" customFormat="false" ht="15" hidden="false" customHeight="true" outlineLevel="0" collapsed="false">
      <c r="B106" s="11" t="s">
        <v>20</v>
      </c>
      <c r="C106" s="11"/>
      <c r="D106" s="14" t="n">
        <f aca="false">IF(D105=1,D104*D96,0)</f>
        <v>3236.67851226304</v>
      </c>
    </row>
    <row r="107" customFormat="false" ht="15" hidden="false" customHeight="true" outlineLevel="0" collapsed="false">
      <c r="B107" s="22" t="s">
        <v>21</v>
      </c>
      <c r="C107" s="22"/>
      <c r="D107" s="23" t="n">
        <f aca="false">D98-D104+D106</f>
        <v>3236.67851226304</v>
      </c>
    </row>
    <row r="109" customFormat="false" ht="19.5" hidden="false" customHeight="true" outlineLevel="0" collapsed="false">
      <c r="B109" s="6" t="s">
        <v>38</v>
      </c>
      <c r="C109" s="6"/>
      <c r="D109" s="6"/>
    </row>
    <row r="110" customFormat="false" ht="15" hidden="false" customHeight="true" outlineLevel="0" collapsed="false">
      <c r="B110" s="7" t="s">
        <v>4</v>
      </c>
      <c r="C110" s="7" t="s">
        <v>5</v>
      </c>
      <c r="D110" s="7" t="s">
        <v>6</v>
      </c>
    </row>
    <row r="111" customFormat="false" ht="15" hidden="false" customHeight="true" outlineLevel="0" collapsed="false">
      <c r="B111" s="8" t="s">
        <v>39</v>
      </c>
      <c r="C111" s="9" t="n">
        <v>1.27</v>
      </c>
      <c r="D111" s="10" t="n">
        <v>0.88</v>
      </c>
    </row>
    <row r="112" customFormat="false" ht="15" hidden="false" customHeight="true" outlineLevel="0" collapsed="false">
      <c r="B112" s="11" t="s">
        <v>8</v>
      </c>
      <c r="C112" s="11"/>
      <c r="D112" s="12" t="n">
        <f aca="false">PRODUCT(C111)</f>
        <v>1.27</v>
      </c>
    </row>
    <row r="113" customFormat="false" ht="15" hidden="false" customHeight="true" outlineLevel="0" collapsed="false">
      <c r="B113" s="11" t="s">
        <v>9</v>
      </c>
      <c r="C113" s="11"/>
      <c r="D113" s="13" t="n">
        <f aca="false">PRODUCT(D111)</f>
        <v>0.88</v>
      </c>
    </row>
    <row r="114" customFormat="false" ht="15" hidden="false" customHeight="true" outlineLevel="0" collapsed="false">
      <c r="B114" s="11" t="s">
        <v>10</v>
      </c>
      <c r="C114" s="11"/>
      <c r="D114" s="14" t="n">
        <f aca="false">$D$107</f>
        <v>3236.67851226304</v>
      </c>
    </row>
    <row r="115" customFormat="false" ht="15" hidden="false" customHeight="true" outlineLevel="0" collapsed="false">
      <c r="B115" s="15" t="s">
        <v>11</v>
      </c>
      <c r="C115" s="16" t="s">
        <v>12</v>
      </c>
      <c r="D115" s="16" t="s">
        <v>13</v>
      </c>
    </row>
    <row r="116" customFormat="false" ht="15" hidden="false" customHeight="true" outlineLevel="0" collapsed="false">
      <c r="B116" s="17" t="s">
        <v>14</v>
      </c>
      <c r="C116" s="18" t="n">
        <f aca="false">MAX(0,MIN(1,((D113*D112-1)/(D112-1))*0.5))</f>
        <v>0.217777777777778</v>
      </c>
      <c r="D116" s="19" t="n">
        <f aca="false">D114*C116</f>
        <v>704.876653781729</v>
      </c>
    </row>
    <row r="117" customFormat="false" ht="15" hidden="false" customHeight="true" outlineLevel="0" collapsed="false">
      <c r="B117" s="17" t="s">
        <v>15</v>
      </c>
      <c r="C117" s="18" t="n">
        <f aca="false">MAX(0,MIN(1,((D113*D112-1)/(D112-1))*0.666666666666667))</f>
        <v>0.29037037037037</v>
      </c>
      <c r="D117" s="19" t="n">
        <f aca="false">D114*C117</f>
        <v>939.835538375639</v>
      </c>
    </row>
    <row r="118" customFormat="false" ht="15" hidden="false" customHeight="true" outlineLevel="0" collapsed="false">
      <c r="B118" s="17" t="s">
        <v>16</v>
      </c>
      <c r="C118" s="18" t="n">
        <f aca="false">MAX(0,MIN(1,((D113*D112-1)/(D112-1))*1))</f>
        <v>0.435555555555555</v>
      </c>
      <c r="D118" s="19" t="n">
        <f aca="false">D114*C118</f>
        <v>1409.75330756346</v>
      </c>
    </row>
    <row r="119" customFormat="false" ht="15" hidden="false" customHeight="true" outlineLevel="0" collapsed="false">
      <c r="B119" s="11" t="s">
        <v>17</v>
      </c>
      <c r="C119" s="11"/>
      <c r="D119" s="20" t="n">
        <v>1</v>
      </c>
    </row>
    <row r="120" customFormat="false" ht="15" hidden="false" customHeight="true" outlineLevel="0" collapsed="false">
      <c r="B120" s="11" t="s">
        <v>18</v>
      </c>
      <c r="C120" s="11"/>
      <c r="D120" s="14" t="n">
        <f aca="false">D114*D119</f>
        <v>3236.67851226304</v>
      </c>
    </row>
    <row r="121" customFormat="false" ht="15" hidden="false" customHeight="true" outlineLevel="0" collapsed="false">
      <c r="B121" s="11" t="s">
        <v>19</v>
      </c>
      <c r="C121" s="11"/>
      <c r="D121" s="21" t="n">
        <v>1</v>
      </c>
    </row>
    <row r="122" customFormat="false" ht="15" hidden="false" customHeight="true" outlineLevel="0" collapsed="false">
      <c r="B122" s="11" t="s">
        <v>20</v>
      </c>
      <c r="C122" s="11"/>
      <c r="D122" s="14" t="n">
        <f aca="false">IF(D121=1,D120*D112,0)</f>
        <v>4110.58171057406</v>
      </c>
    </row>
    <row r="123" customFormat="false" ht="15" hidden="false" customHeight="true" outlineLevel="0" collapsed="false">
      <c r="B123" s="22" t="s">
        <v>21</v>
      </c>
      <c r="C123" s="22"/>
      <c r="D123" s="23" t="n">
        <f aca="false">D114-D120+D122</f>
        <v>4110.58171057406</v>
      </c>
    </row>
    <row r="125" customFormat="false" ht="19.5" hidden="false" customHeight="true" outlineLevel="0" collapsed="false">
      <c r="B125" s="6" t="s">
        <v>40</v>
      </c>
      <c r="C125" s="6"/>
      <c r="D125" s="6"/>
    </row>
    <row r="126" customFormat="false" ht="15" hidden="false" customHeight="true" outlineLevel="0" collapsed="false">
      <c r="B126" s="7" t="s">
        <v>4</v>
      </c>
      <c r="C126" s="7" t="s">
        <v>5</v>
      </c>
      <c r="D126" s="7" t="s">
        <v>6</v>
      </c>
    </row>
    <row r="127" customFormat="false" ht="15" hidden="false" customHeight="true" outlineLevel="0" collapsed="false">
      <c r="B127" s="8" t="s">
        <v>41</v>
      </c>
      <c r="C127" s="9" t="n">
        <v>2.05</v>
      </c>
      <c r="D127" s="10" t="n">
        <v>0.82</v>
      </c>
    </row>
    <row r="128" customFormat="false" ht="15" hidden="false" customHeight="true" outlineLevel="0" collapsed="false">
      <c r="B128" s="8" t="s">
        <v>42</v>
      </c>
      <c r="C128" s="9" t="n">
        <v>1.06</v>
      </c>
      <c r="D128" s="10" t="n">
        <v>0.99</v>
      </c>
    </row>
    <row r="129" customFormat="false" ht="15" hidden="false" customHeight="true" outlineLevel="0" collapsed="false">
      <c r="B129" s="11" t="s">
        <v>8</v>
      </c>
      <c r="C129" s="11"/>
      <c r="D129" s="12" t="n">
        <f aca="false">PRODUCT(C127:C128)</f>
        <v>2.173</v>
      </c>
    </row>
    <row r="130" customFormat="false" ht="15" hidden="false" customHeight="true" outlineLevel="0" collapsed="false">
      <c r="B130" s="11" t="s">
        <v>9</v>
      </c>
      <c r="C130" s="11"/>
      <c r="D130" s="13" t="n">
        <f aca="false">PRODUCT(D127:D128)</f>
        <v>0.8118</v>
      </c>
    </row>
    <row r="131" customFormat="false" ht="15" hidden="false" customHeight="true" outlineLevel="0" collapsed="false">
      <c r="B131" s="11" t="s">
        <v>10</v>
      </c>
      <c r="C131" s="11"/>
      <c r="D131" s="14" t="n">
        <f aca="false">$D$123</f>
        <v>4110.58171057406</v>
      </c>
    </row>
    <row r="132" customFormat="false" ht="15" hidden="false" customHeight="true" outlineLevel="0" collapsed="false">
      <c r="B132" s="15" t="s">
        <v>11</v>
      </c>
      <c r="C132" s="16" t="s">
        <v>12</v>
      </c>
      <c r="D132" s="16" t="s">
        <v>13</v>
      </c>
    </row>
    <row r="133" customFormat="false" ht="15" hidden="false" customHeight="true" outlineLevel="0" collapsed="false">
      <c r="B133" s="17" t="s">
        <v>14</v>
      </c>
      <c r="C133" s="18" t="n">
        <f aca="false">MAX(0,MIN(1,((D130*D129-1)/(D129-1))*0.5))</f>
        <v>0.325678346121057</v>
      </c>
      <c r="D133" s="19" t="n">
        <f aca="false">D131*C133</f>
        <v>1338.72745309523</v>
      </c>
    </row>
    <row r="134" customFormat="false" ht="15" hidden="false" customHeight="true" outlineLevel="0" collapsed="false">
      <c r="B134" s="17" t="s">
        <v>15</v>
      </c>
      <c r="C134" s="18" t="n">
        <f aca="false">MAX(0,MIN(1,((D130*D129-1)/(D129-1))*0.666666666666667))</f>
        <v>0.434237794828076</v>
      </c>
      <c r="D134" s="19" t="n">
        <f aca="false">D131*C134</f>
        <v>1784.9699374603</v>
      </c>
    </row>
    <row r="135" customFormat="false" ht="15" hidden="false" customHeight="true" outlineLevel="0" collapsed="false">
      <c r="B135" s="17" t="s">
        <v>16</v>
      </c>
      <c r="C135" s="18" t="n">
        <f aca="false">MAX(0,MIN(1,((D130*D129-1)/(D129-1))*1))</f>
        <v>0.651356692242114</v>
      </c>
      <c r="D135" s="19" t="n">
        <f aca="false">D131*C135</f>
        <v>2677.45490619045</v>
      </c>
    </row>
    <row r="136" customFormat="false" ht="15" hidden="false" customHeight="true" outlineLevel="0" collapsed="false">
      <c r="B136" s="11" t="s">
        <v>17</v>
      </c>
      <c r="C136" s="11"/>
      <c r="D136" s="20" t="n">
        <v>1</v>
      </c>
    </row>
    <row r="137" customFormat="false" ht="15" hidden="false" customHeight="true" outlineLevel="0" collapsed="false">
      <c r="B137" s="11" t="s">
        <v>18</v>
      </c>
      <c r="C137" s="11"/>
      <c r="D137" s="14" t="n">
        <f aca="false">D131*D136</f>
        <v>4110.58171057406</v>
      </c>
    </row>
    <row r="138" customFormat="false" ht="15" hidden="false" customHeight="true" outlineLevel="0" collapsed="false">
      <c r="B138" s="11" t="s">
        <v>19</v>
      </c>
      <c r="C138" s="11"/>
      <c r="D138" s="21" t="n">
        <v>1</v>
      </c>
    </row>
    <row r="139" customFormat="false" ht="15" hidden="false" customHeight="true" outlineLevel="0" collapsed="false">
      <c r="B139" s="11" t="s">
        <v>20</v>
      </c>
      <c r="C139" s="11"/>
      <c r="D139" s="14" t="n">
        <f aca="false">IF(D138=1,D137*D129,0)</f>
        <v>8932.29405707744</v>
      </c>
    </row>
    <row r="140" customFormat="false" ht="15" hidden="false" customHeight="true" outlineLevel="0" collapsed="false">
      <c r="B140" s="22" t="s">
        <v>21</v>
      </c>
      <c r="C140" s="22"/>
      <c r="D140" s="23" t="n">
        <f aca="false">D131-D137+D139</f>
        <v>8932.29405707744</v>
      </c>
    </row>
    <row r="142" customFormat="false" ht="19.5" hidden="false" customHeight="true" outlineLevel="0" collapsed="false">
      <c r="B142" s="6" t="s">
        <v>43</v>
      </c>
      <c r="C142" s="6"/>
      <c r="D142" s="6"/>
    </row>
    <row r="143" customFormat="false" ht="15" hidden="false" customHeight="true" outlineLevel="0" collapsed="false">
      <c r="B143" s="7" t="s">
        <v>4</v>
      </c>
      <c r="C143" s="7" t="s">
        <v>5</v>
      </c>
      <c r="D143" s="7" t="s">
        <v>6</v>
      </c>
    </row>
    <row r="144" customFormat="false" ht="15" hidden="false" customHeight="true" outlineLevel="0" collapsed="false">
      <c r="B144" s="8" t="s">
        <v>44</v>
      </c>
      <c r="C144" s="9" t="n">
        <v>1.27</v>
      </c>
      <c r="D144" s="10" t="n">
        <v>0.95</v>
      </c>
    </row>
    <row r="145" customFormat="false" ht="15" hidden="false" customHeight="true" outlineLevel="0" collapsed="false">
      <c r="B145" s="11" t="s">
        <v>8</v>
      </c>
      <c r="C145" s="11"/>
      <c r="D145" s="12" t="n">
        <f aca="false">PRODUCT(C144)</f>
        <v>1.27</v>
      </c>
    </row>
    <row r="146" customFormat="false" ht="15" hidden="false" customHeight="true" outlineLevel="0" collapsed="false">
      <c r="B146" s="11" t="s">
        <v>9</v>
      </c>
      <c r="C146" s="11"/>
      <c r="D146" s="13" t="n">
        <f aca="false">PRODUCT(D144)</f>
        <v>0.95</v>
      </c>
    </row>
    <row r="147" customFormat="false" ht="15" hidden="false" customHeight="true" outlineLevel="0" collapsed="false">
      <c r="B147" s="11" t="s">
        <v>10</v>
      </c>
      <c r="C147" s="11"/>
      <c r="D147" s="14" t="n">
        <f aca="false">$D$140</f>
        <v>8932.29405707744</v>
      </c>
    </row>
    <row r="148" customFormat="false" ht="15" hidden="false" customHeight="true" outlineLevel="0" collapsed="false">
      <c r="B148" s="15" t="s">
        <v>11</v>
      </c>
      <c r="C148" s="16" t="s">
        <v>12</v>
      </c>
      <c r="D148" s="16" t="s">
        <v>13</v>
      </c>
    </row>
    <row r="149" customFormat="false" ht="15" hidden="false" customHeight="true" outlineLevel="0" collapsed="false">
      <c r="B149" s="17" t="s">
        <v>14</v>
      </c>
      <c r="C149" s="18" t="n">
        <f aca="false">MAX(0,MIN(1,((D146*D145-1)/(D145-1))*0.5))</f>
        <v>0.382407407407407</v>
      </c>
      <c r="D149" s="19" t="n">
        <f aca="false">D147*C149</f>
        <v>3415.77541256758</v>
      </c>
    </row>
    <row r="150" customFormat="false" ht="15" hidden="false" customHeight="true" outlineLevel="0" collapsed="false">
      <c r="B150" s="17" t="s">
        <v>15</v>
      </c>
      <c r="C150" s="18" t="n">
        <f aca="false">MAX(0,MIN(1,((D146*D145-1)/(D145-1))*0.666666666666667))</f>
        <v>0.509876543209877</v>
      </c>
      <c r="D150" s="19" t="n">
        <f aca="false">D147*C150</f>
        <v>4554.36721675677</v>
      </c>
    </row>
    <row r="151" customFormat="false" ht="15" hidden="false" customHeight="true" outlineLevel="0" collapsed="false">
      <c r="B151" s="17" t="s">
        <v>16</v>
      </c>
      <c r="C151" s="18" t="n">
        <f aca="false">MAX(0,MIN(1,((D146*D145-1)/(D145-1))*1))</f>
        <v>0.764814814814814</v>
      </c>
      <c r="D151" s="19" t="n">
        <f aca="false">D147*C151</f>
        <v>6831.55082513515</v>
      </c>
    </row>
    <row r="152" customFormat="false" ht="15" hidden="false" customHeight="true" outlineLevel="0" collapsed="false">
      <c r="B152" s="11" t="s">
        <v>17</v>
      </c>
      <c r="C152" s="11"/>
      <c r="D152" s="20" t="n">
        <v>1</v>
      </c>
    </row>
    <row r="153" customFormat="false" ht="15" hidden="false" customHeight="true" outlineLevel="0" collapsed="false">
      <c r="B153" s="11" t="s">
        <v>18</v>
      </c>
      <c r="C153" s="11"/>
      <c r="D153" s="14" t="n">
        <f aca="false">D147*D152</f>
        <v>8932.29405707744</v>
      </c>
    </row>
    <row r="154" customFormat="false" ht="15" hidden="false" customHeight="true" outlineLevel="0" collapsed="false">
      <c r="B154" s="11" t="s">
        <v>19</v>
      </c>
      <c r="C154" s="11"/>
      <c r="D154" s="21" t="n">
        <v>1</v>
      </c>
    </row>
    <row r="155" customFormat="false" ht="15" hidden="false" customHeight="true" outlineLevel="0" collapsed="false">
      <c r="B155" s="11" t="s">
        <v>20</v>
      </c>
      <c r="C155" s="11"/>
      <c r="D155" s="14" t="n">
        <f aca="false">IF(D154=1,D153*D145,0)</f>
        <v>11344.0134524884</v>
      </c>
    </row>
    <row r="156" customFormat="false" ht="15" hidden="false" customHeight="true" outlineLevel="0" collapsed="false">
      <c r="B156" s="22" t="s">
        <v>21</v>
      </c>
      <c r="C156" s="22"/>
      <c r="D156" s="23" t="n">
        <f aca="false">D147-D153+D155</f>
        <v>11344.0134524884</v>
      </c>
    </row>
    <row r="158" customFormat="false" ht="19.5" hidden="false" customHeight="true" outlineLevel="0" collapsed="false">
      <c r="B158" s="6" t="s">
        <v>45</v>
      </c>
      <c r="C158" s="6"/>
      <c r="D158" s="6"/>
    </row>
    <row r="159" customFormat="false" ht="15" hidden="false" customHeight="true" outlineLevel="0" collapsed="false">
      <c r="B159" s="7" t="s">
        <v>4</v>
      </c>
      <c r="C159" s="7" t="s">
        <v>5</v>
      </c>
      <c r="D159" s="7" t="s">
        <v>6</v>
      </c>
    </row>
    <row r="160" customFormat="false" ht="15" hidden="false" customHeight="true" outlineLevel="0" collapsed="false">
      <c r="B160" s="8" t="s">
        <v>46</v>
      </c>
      <c r="C160" s="9" t="n">
        <v>1.13</v>
      </c>
      <c r="D160" s="10" t="n">
        <v>0.885</v>
      </c>
    </row>
    <row r="161" customFormat="false" ht="15" hidden="false" customHeight="true" outlineLevel="0" collapsed="false">
      <c r="B161" s="8" t="s">
        <v>47</v>
      </c>
      <c r="C161" s="9" t="n">
        <v>1.47</v>
      </c>
      <c r="D161" s="10" t="n">
        <v>0.73</v>
      </c>
    </row>
    <row r="162" customFormat="false" ht="15" hidden="false" customHeight="true" outlineLevel="0" collapsed="false">
      <c r="B162" s="8" t="s">
        <v>48</v>
      </c>
      <c r="C162" s="9" t="n">
        <v>1.47</v>
      </c>
      <c r="D162" s="10" t="n">
        <v>0.76</v>
      </c>
    </row>
    <row r="163" customFormat="false" ht="15" hidden="false" customHeight="true" outlineLevel="0" collapsed="false">
      <c r="B163" s="8" t="s">
        <v>49</v>
      </c>
      <c r="C163" s="9" t="n">
        <v>1.19</v>
      </c>
      <c r="D163" s="10" t="n">
        <v>0.87</v>
      </c>
    </row>
    <row r="164" customFormat="false" ht="15" hidden="false" customHeight="true" outlineLevel="0" collapsed="false">
      <c r="B164" s="11" t="s">
        <v>8</v>
      </c>
      <c r="C164" s="11"/>
      <c r="D164" s="12" t="n">
        <f aca="false">PRODUCT(C160:C163)</f>
        <v>2.90576223</v>
      </c>
    </row>
    <row r="165" customFormat="false" ht="15" hidden="false" customHeight="true" outlineLevel="0" collapsed="false">
      <c r="B165" s="11" t="s">
        <v>9</v>
      </c>
      <c r="C165" s="11"/>
      <c r="D165" s="13" t="n">
        <f aca="false">PRODUCT(D160:D163)</f>
        <v>0.42716826</v>
      </c>
    </row>
    <row r="166" customFormat="false" ht="15" hidden="false" customHeight="true" outlineLevel="0" collapsed="false">
      <c r="B166" s="11" t="s">
        <v>10</v>
      </c>
      <c r="C166" s="11"/>
      <c r="D166" s="14" t="n">
        <f aca="false">$D$156</f>
        <v>11344.0134524884</v>
      </c>
    </row>
    <row r="167" customFormat="false" ht="15" hidden="false" customHeight="true" outlineLevel="0" collapsed="false">
      <c r="B167" s="15" t="s">
        <v>11</v>
      </c>
      <c r="C167" s="16" t="s">
        <v>12</v>
      </c>
      <c r="D167" s="16" t="s">
        <v>13</v>
      </c>
    </row>
    <row r="168" customFormat="false" ht="15" hidden="false" customHeight="true" outlineLevel="0" collapsed="false">
      <c r="B168" s="17" t="s">
        <v>14</v>
      </c>
      <c r="C168" s="18" t="n">
        <f aca="false">MAX(0,MIN(1,((D165*D164-1)/(D164-1))*0.5))</f>
        <v>0.0632947258490949</v>
      </c>
      <c r="D168" s="19" t="n">
        <f aca="false">D166*C168</f>
        <v>718.016221503695</v>
      </c>
    </row>
    <row r="169" customFormat="false" ht="15" hidden="false" customHeight="true" outlineLevel="0" collapsed="false">
      <c r="B169" s="17" t="s">
        <v>15</v>
      </c>
      <c r="C169" s="18" t="n">
        <f aca="false">MAX(0,MIN(1,((D165*D164-1)/(D164-1))*0.666666666666667))</f>
        <v>0.0843929677987933</v>
      </c>
      <c r="D169" s="19" t="n">
        <f aca="false">D166*C169</f>
        <v>957.354962004927</v>
      </c>
    </row>
    <row r="170" customFormat="false" ht="15" hidden="false" customHeight="true" outlineLevel="0" collapsed="false">
      <c r="B170" s="17" t="s">
        <v>16</v>
      </c>
      <c r="C170" s="18" t="n">
        <f aca="false">MAX(0,MIN(1,((D165*D164-1)/(D164-1))*1))</f>
        <v>0.12658945169819</v>
      </c>
      <c r="D170" s="19" t="n">
        <f aca="false">D166*C170</f>
        <v>1436.03244300739</v>
      </c>
    </row>
    <row r="171" customFormat="false" ht="15" hidden="false" customHeight="true" outlineLevel="0" collapsed="false">
      <c r="B171" s="11" t="s">
        <v>17</v>
      </c>
      <c r="C171" s="11"/>
      <c r="D171" s="20" t="n">
        <v>1</v>
      </c>
    </row>
    <row r="172" customFormat="false" ht="15" hidden="false" customHeight="true" outlineLevel="0" collapsed="false">
      <c r="B172" s="11" t="s">
        <v>18</v>
      </c>
      <c r="C172" s="11"/>
      <c r="D172" s="14" t="n">
        <f aca="false">D166*D171</f>
        <v>11344.0134524884</v>
      </c>
    </row>
    <row r="173" customFormat="false" ht="15" hidden="false" customHeight="true" outlineLevel="0" collapsed="false">
      <c r="B173" s="11" t="s">
        <v>19</v>
      </c>
      <c r="C173" s="11"/>
      <c r="D173" s="21" t="n">
        <v>1</v>
      </c>
    </row>
    <row r="174" customFormat="false" ht="15" hidden="false" customHeight="true" outlineLevel="0" collapsed="false">
      <c r="B174" s="11" t="s">
        <v>20</v>
      </c>
      <c r="C174" s="11"/>
      <c r="D174" s="14" t="n">
        <f aca="false">IF(D173=1,D172*D164,0)</f>
        <v>32963.0058268525</v>
      </c>
    </row>
    <row r="175" customFormat="false" ht="15" hidden="false" customHeight="true" outlineLevel="0" collapsed="false">
      <c r="B175" s="22" t="s">
        <v>21</v>
      </c>
      <c r="C175" s="22"/>
      <c r="D175" s="23" t="n">
        <f aca="false">D166-D172+D174</f>
        <v>32963.0058268525</v>
      </c>
    </row>
    <row r="177" customFormat="false" ht="19.5" hidden="false" customHeight="true" outlineLevel="0" collapsed="false">
      <c r="B177" s="6" t="s">
        <v>50</v>
      </c>
      <c r="C177" s="6"/>
      <c r="D177" s="6"/>
    </row>
    <row r="178" customFormat="false" ht="15" hidden="false" customHeight="true" outlineLevel="0" collapsed="false">
      <c r="B178" s="7" t="s">
        <v>4</v>
      </c>
      <c r="C178" s="7" t="s">
        <v>5</v>
      </c>
      <c r="D178" s="7" t="s">
        <v>6</v>
      </c>
    </row>
    <row r="179" customFormat="false" ht="15" hidden="false" customHeight="true" outlineLevel="0" collapsed="false">
      <c r="B179" s="8" t="s">
        <v>51</v>
      </c>
      <c r="C179" s="9" t="n">
        <v>1.12</v>
      </c>
      <c r="D179" s="10" t="n">
        <v>0.96</v>
      </c>
    </row>
    <row r="180" customFormat="false" ht="15" hidden="false" customHeight="true" outlineLevel="0" collapsed="false">
      <c r="B180" s="11" t="s">
        <v>8</v>
      </c>
      <c r="C180" s="11"/>
      <c r="D180" s="12" t="n">
        <f aca="false">PRODUCT(C179)</f>
        <v>1.12</v>
      </c>
    </row>
    <row r="181" customFormat="false" ht="15" hidden="false" customHeight="true" outlineLevel="0" collapsed="false">
      <c r="B181" s="11" t="s">
        <v>9</v>
      </c>
      <c r="C181" s="11"/>
      <c r="D181" s="13" t="n">
        <f aca="false">PRODUCT(D179)</f>
        <v>0.96</v>
      </c>
    </row>
    <row r="182" customFormat="false" ht="15" hidden="false" customHeight="true" outlineLevel="0" collapsed="false">
      <c r="B182" s="11" t="s">
        <v>10</v>
      </c>
      <c r="C182" s="11"/>
      <c r="D182" s="14" t="n">
        <f aca="false">$D$175</f>
        <v>32963.0058268525</v>
      </c>
    </row>
    <row r="183" customFormat="false" ht="15" hidden="false" customHeight="true" outlineLevel="0" collapsed="false">
      <c r="B183" s="15" t="s">
        <v>11</v>
      </c>
      <c r="C183" s="16" t="s">
        <v>12</v>
      </c>
      <c r="D183" s="16" t="s">
        <v>13</v>
      </c>
    </row>
    <row r="184" customFormat="false" ht="15" hidden="false" customHeight="true" outlineLevel="0" collapsed="false">
      <c r="B184" s="17" t="s">
        <v>14</v>
      </c>
      <c r="C184" s="18" t="n">
        <f aca="false">MAX(0,MIN(1,((D181*D180-1)/(D180-1))*0.5))</f>
        <v>0.313333333333334</v>
      </c>
      <c r="D184" s="19" t="n">
        <f aca="false">D182*C184</f>
        <v>10328.4084924138</v>
      </c>
    </row>
    <row r="185" customFormat="false" ht="15" hidden="false" customHeight="true" outlineLevel="0" collapsed="false">
      <c r="B185" s="17" t="s">
        <v>15</v>
      </c>
      <c r="C185" s="18" t="n">
        <f aca="false">MAX(0,MIN(1,((D181*D180-1)/(D180-1))*0.666666666666667))</f>
        <v>0.417777777777778</v>
      </c>
      <c r="D185" s="19" t="n">
        <f aca="false">D182*C185</f>
        <v>13771.2113232184</v>
      </c>
    </row>
    <row r="186" customFormat="false" ht="15" hidden="false" customHeight="true" outlineLevel="0" collapsed="false">
      <c r="B186" s="17" t="s">
        <v>16</v>
      </c>
      <c r="C186" s="18" t="n">
        <f aca="false">MAX(0,MIN(1,((D181*D180-1)/(D180-1))*1))</f>
        <v>0.626666666666667</v>
      </c>
      <c r="D186" s="19" t="n">
        <f aca="false">D182*C186</f>
        <v>20656.8169848276</v>
      </c>
    </row>
    <row r="187" customFormat="false" ht="15" hidden="false" customHeight="true" outlineLevel="0" collapsed="false">
      <c r="B187" s="11" t="s">
        <v>17</v>
      </c>
      <c r="C187" s="11"/>
      <c r="D187" s="20" t="n">
        <v>1</v>
      </c>
    </row>
    <row r="188" customFormat="false" ht="15" hidden="false" customHeight="true" outlineLevel="0" collapsed="false">
      <c r="B188" s="11" t="s">
        <v>18</v>
      </c>
      <c r="C188" s="11"/>
      <c r="D188" s="14" t="n">
        <f aca="false">D182*D187</f>
        <v>32963.0058268525</v>
      </c>
    </row>
    <row r="189" customFormat="false" ht="15" hidden="false" customHeight="true" outlineLevel="0" collapsed="false">
      <c r="B189" s="11" t="s">
        <v>19</v>
      </c>
      <c r="C189" s="11"/>
      <c r="D189" s="21" t="n">
        <v>1</v>
      </c>
    </row>
    <row r="190" customFormat="false" ht="15" hidden="false" customHeight="true" outlineLevel="0" collapsed="false">
      <c r="B190" s="11" t="s">
        <v>20</v>
      </c>
      <c r="C190" s="11"/>
      <c r="D190" s="14" t="n">
        <f aca="false">IF(D189=1,D188*D180,0)</f>
        <v>36918.5665260749</v>
      </c>
    </row>
    <row r="191" customFormat="false" ht="15" hidden="false" customHeight="true" outlineLevel="0" collapsed="false">
      <c r="B191" s="22" t="s">
        <v>21</v>
      </c>
      <c r="C191" s="22"/>
      <c r="D191" s="23" t="n">
        <f aca="false">D182-D188+D190</f>
        <v>36918.5665260749</v>
      </c>
    </row>
    <row r="193" customFormat="false" ht="19.5" hidden="false" customHeight="true" outlineLevel="0" collapsed="false">
      <c r="B193" s="6" t="s">
        <v>52</v>
      </c>
      <c r="C193" s="6"/>
      <c r="D193" s="6"/>
    </row>
    <row r="194" customFormat="false" ht="15" hidden="false" customHeight="true" outlineLevel="0" collapsed="false">
      <c r="B194" s="7" t="s">
        <v>4</v>
      </c>
      <c r="C194" s="7" t="s">
        <v>5</v>
      </c>
      <c r="D194" s="7" t="s">
        <v>6</v>
      </c>
    </row>
    <row r="195" customFormat="false" ht="15" hidden="false" customHeight="true" outlineLevel="0" collapsed="false">
      <c r="B195" s="8" t="s">
        <v>53</v>
      </c>
      <c r="C195" s="9" t="n">
        <v>1.27</v>
      </c>
      <c r="D195" s="10" t="n">
        <v>0.95</v>
      </c>
    </row>
    <row r="196" customFormat="false" ht="15" hidden="false" customHeight="true" outlineLevel="0" collapsed="false">
      <c r="B196" s="8" t="s">
        <v>54</v>
      </c>
      <c r="C196" s="9" t="n">
        <v>1.32</v>
      </c>
      <c r="D196" s="10" t="n">
        <v>0.82</v>
      </c>
    </row>
    <row r="197" customFormat="false" ht="15" hidden="false" customHeight="true" outlineLevel="0" collapsed="false">
      <c r="B197" s="8" t="s">
        <v>55</v>
      </c>
      <c r="C197" s="9" t="n">
        <v>1.5</v>
      </c>
      <c r="D197" s="10" t="n">
        <v>0.84</v>
      </c>
    </row>
    <row r="198" customFormat="false" ht="15" hidden="false" customHeight="true" outlineLevel="0" collapsed="false">
      <c r="B198" s="8" t="s">
        <v>56</v>
      </c>
      <c r="C198" s="9" t="n">
        <v>1.52</v>
      </c>
      <c r="D198" s="10" t="n">
        <v>0.75</v>
      </c>
    </row>
    <row r="199" customFormat="false" ht="15" hidden="false" customHeight="true" outlineLevel="0" collapsed="false">
      <c r="B199" s="11" t="s">
        <v>8</v>
      </c>
      <c r="C199" s="11"/>
      <c r="D199" s="12" t="n">
        <f aca="false">PRODUCT(C195:C198)</f>
        <v>3.822192</v>
      </c>
    </row>
    <row r="200" customFormat="false" ht="15" hidden="false" customHeight="true" outlineLevel="0" collapsed="false">
      <c r="B200" s="11" t="s">
        <v>9</v>
      </c>
      <c r="C200" s="11"/>
      <c r="D200" s="13" t="n">
        <f aca="false">PRODUCT(D195:D198)</f>
        <v>0.49077</v>
      </c>
    </row>
    <row r="201" customFormat="false" ht="15" hidden="false" customHeight="true" outlineLevel="0" collapsed="false">
      <c r="B201" s="11" t="s">
        <v>10</v>
      </c>
      <c r="C201" s="11"/>
      <c r="D201" s="14" t="n">
        <f aca="false">$D$191</f>
        <v>36918.5665260749</v>
      </c>
    </row>
    <row r="202" customFormat="false" ht="15" hidden="false" customHeight="true" outlineLevel="0" collapsed="false">
      <c r="B202" s="15" t="s">
        <v>11</v>
      </c>
      <c r="C202" s="16" t="s">
        <v>12</v>
      </c>
      <c r="D202" s="16" t="s">
        <v>13</v>
      </c>
    </row>
    <row r="203" customFormat="false" ht="15" hidden="false" customHeight="true" outlineLevel="0" collapsed="false">
      <c r="B203" s="17" t="s">
        <v>14</v>
      </c>
      <c r="C203" s="18" t="n">
        <f aca="false">MAX(0,MIN(1,((D200*D199-1)/(D199-1))*0.5))</f>
        <v>0.155166120490739</v>
      </c>
      <c r="D203" s="19" t="n">
        <f aca="false">D201*C203</f>
        <v>5728.5107419303</v>
      </c>
    </row>
    <row r="204" customFormat="false" ht="15" hidden="false" customHeight="true" outlineLevel="0" collapsed="false">
      <c r="B204" s="17" t="s">
        <v>15</v>
      </c>
      <c r="C204" s="18" t="n">
        <f aca="false">MAX(0,MIN(1,((D200*D199-1)/(D199-1))*0.666666666666667))</f>
        <v>0.206888160654319</v>
      </c>
      <c r="D204" s="19" t="n">
        <f aca="false">D201*C204</f>
        <v>7638.01432257373</v>
      </c>
    </row>
    <row r="205" customFormat="false" ht="15" hidden="false" customHeight="true" outlineLevel="0" collapsed="false">
      <c r="B205" s="17" t="s">
        <v>16</v>
      </c>
      <c r="C205" s="18" t="n">
        <f aca="false">MAX(0,MIN(1,((D200*D199-1)/(D199-1))*1))</f>
        <v>0.310332240981478</v>
      </c>
      <c r="D205" s="19" t="n">
        <f aca="false">D201*C205</f>
        <v>11457.0214838606</v>
      </c>
    </row>
    <row r="206" customFormat="false" ht="15" hidden="false" customHeight="true" outlineLevel="0" collapsed="false">
      <c r="B206" s="11" t="s">
        <v>17</v>
      </c>
      <c r="C206" s="11"/>
      <c r="D206" s="20" t="n">
        <v>1</v>
      </c>
    </row>
    <row r="207" customFormat="false" ht="15" hidden="false" customHeight="true" outlineLevel="0" collapsed="false">
      <c r="B207" s="11" t="s">
        <v>18</v>
      </c>
      <c r="C207" s="11"/>
      <c r="D207" s="14" t="n">
        <f aca="false">D201*D206</f>
        <v>36918.5665260749</v>
      </c>
    </row>
    <row r="208" customFormat="false" ht="15" hidden="false" customHeight="true" outlineLevel="0" collapsed="false">
      <c r="B208" s="11" t="s">
        <v>19</v>
      </c>
      <c r="C208" s="11"/>
      <c r="D208" s="21" t="n">
        <v>1</v>
      </c>
    </row>
    <row r="209" customFormat="false" ht="15" hidden="false" customHeight="true" outlineLevel="0" collapsed="false">
      <c r="B209" s="11" t="s">
        <v>20</v>
      </c>
      <c r="C209" s="11"/>
      <c r="D209" s="14" t="n">
        <f aca="false">IF(D208=1,D207*D199,0)</f>
        <v>141109.849627431</v>
      </c>
    </row>
    <row r="210" customFormat="false" ht="15" hidden="false" customHeight="true" outlineLevel="0" collapsed="false">
      <c r="B210" s="22" t="s">
        <v>21</v>
      </c>
      <c r="C210" s="22"/>
      <c r="D210" s="23" t="n">
        <f aca="false">D201-D207+D209</f>
        <v>141109.849627431</v>
      </c>
    </row>
    <row r="212" customFormat="false" ht="19.5" hidden="false" customHeight="true" outlineLevel="0" collapsed="false">
      <c r="B212" s="6" t="s">
        <v>57</v>
      </c>
      <c r="C212" s="6"/>
      <c r="D212" s="6"/>
    </row>
    <row r="213" customFormat="false" ht="15" hidden="false" customHeight="true" outlineLevel="0" collapsed="false">
      <c r="B213" s="7" t="s">
        <v>4</v>
      </c>
      <c r="C213" s="7" t="s">
        <v>5</v>
      </c>
      <c r="D213" s="7" t="s">
        <v>6</v>
      </c>
    </row>
    <row r="214" customFormat="false" ht="15" hidden="false" customHeight="true" outlineLevel="0" collapsed="false">
      <c r="B214" s="8" t="s">
        <v>58</v>
      </c>
      <c r="C214" s="9" t="n">
        <v>1.4</v>
      </c>
      <c r="D214" s="10" t="n">
        <v>0.92</v>
      </c>
    </row>
    <row r="215" customFormat="false" ht="15" hidden="false" customHeight="true" outlineLevel="0" collapsed="false">
      <c r="B215" s="8" t="s">
        <v>59</v>
      </c>
      <c r="C215" s="9" t="n">
        <v>1.26</v>
      </c>
      <c r="D215" s="10" t="n">
        <v>0.93</v>
      </c>
    </row>
    <row r="216" customFormat="false" ht="15" hidden="false" customHeight="true" outlineLevel="0" collapsed="false">
      <c r="B216" s="8" t="s">
        <v>60</v>
      </c>
      <c r="C216" s="9" t="n">
        <v>1.27</v>
      </c>
      <c r="D216" s="10" t="n">
        <v>0.8</v>
      </c>
    </row>
    <row r="217" customFormat="false" ht="15" hidden="false" customHeight="true" outlineLevel="0" collapsed="false">
      <c r="B217" s="11" t="s">
        <v>8</v>
      </c>
      <c r="C217" s="11"/>
      <c r="D217" s="12" t="n">
        <f aca="false">PRODUCT(C214:C216)</f>
        <v>2.24028</v>
      </c>
    </row>
    <row r="218" customFormat="false" ht="15" hidden="false" customHeight="true" outlineLevel="0" collapsed="false">
      <c r="B218" s="11" t="s">
        <v>9</v>
      </c>
      <c r="C218" s="11"/>
      <c r="D218" s="13" t="n">
        <f aca="false">PRODUCT(D214:D216)</f>
        <v>0.68448</v>
      </c>
    </row>
    <row r="219" customFormat="false" ht="15" hidden="false" customHeight="true" outlineLevel="0" collapsed="false">
      <c r="B219" s="11" t="s">
        <v>10</v>
      </c>
      <c r="C219" s="11"/>
      <c r="D219" s="14" t="n">
        <f aca="false">$D$210</f>
        <v>141109.849627431</v>
      </c>
    </row>
    <row r="220" customFormat="false" ht="15" hidden="false" customHeight="true" outlineLevel="0" collapsed="false">
      <c r="B220" s="15" t="s">
        <v>11</v>
      </c>
      <c r="C220" s="16" t="s">
        <v>12</v>
      </c>
      <c r="D220" s="16" t="s">
        <v>13</v>
      </c>
    </row>
    <row r="221" customFormat="false" ht="15" hidden="false" customHeight="true" outlineLevel="0" collapsed="false">
      <c r="B221" s="17" t="s">
        <v>14</v>
      </c>
      <c r="C221" s="18" t="n">
        <f aca="false">MAX(0,MIN(1,((D218*D217-1)/(D217-1))*0.5))</f>
        <v>0.2150429154707</v>
      </c>
      <c r="D221" s="19" t="n">
        <f aca="false">D219*C221</f>
        <v>30344.6734655149</v>
      </c>
    </row>
    <row r="222" customFormat="false" ht="15" hidden="false" customHeight="true" outlineLevel="0" collapsed="false">
      <c r="B222" s="17" t="s">
        <v>15</v>
      </c>
      <c r="C222" s="18" t="n">
        <f aca="false">MAX(0,MIN(1,((D218*D217-1)/(D217-1))*0.666666666666667))</f>
        <v>0.286723887294267</v>
      </c>
      <c r="D222" s="19" t="n">
        <f aca="false">D219*C222</f>
        <v>40459.5646206865</v>
      </c>
    </row>
    <row r="223" customFormat="false" ht="15" hidden="false" customHeight="true" outlineLevel="0" collapsed="false">
      <c r="B223" s="17" t="s">
        <v>16</v>
      </c>
      <c r="C223" s="18" t="n">
        <f aca="false">MAX(0,MIN(1,((D218*D217-1)/(D217-1))*1))</f>
        <v>0.4300858309414</v>
      </c>
      <c r="D223" s="19" t="n">
        <f aca="false">D219*C223</f>
        <v>60689.3469310298</v>
      </c>
    </row>
    <row r="224" customFormat="false" ht="15" hidden="false" customHeight="true" outlineLevel="0" collapsed="false">
      <c r="B224" s="11" t="s">
        <v>17</v>
      </c>
      <c r="C224" s="11"/>
      <c r="D224" s="20" t="n">
        <v>1</v>
      </c>
    </row>
    <row r="225" customFormat="false" ht="15" hidden="false" customHeight="true" outlineLevel="0" collapsed="false">
      <c r="B225" s="11" t="s">
        <v>18</v>
      </c>
      <c r="C225" s="11"/>
      <c r="D225" s="14" t="n">
        <f aca="false">D219*D224</f>
        <v>141109.849627431</v>
      </c>
    </row>
    <row r="226" customFormat="false" ht="15" hidden="false" customHeight="true" outlineLevel="0" collapsed="false">
      <c r="B226" s="11" t="s">
        <v>19</v>
      </c>
      <c r="C226" s="11"/>
      <c r="D226" s="21" t="n">
        <v>1</v>
      </c>
    </row>
    <row r="227" customFormat="false" ht="15" hidden="false" customHeight="true" outlineLevel="0" collapsed="false">
      <c r="B227" s="11" t="s">
        <v>20</v>
      </c>
      <c r="C227" s="11"/>
      <c r="D227" s="14" t="n">
        <f aca="false">IF(D226=1,D225*D217,0)</f>
        <v>316125.573923341</v>
      </c>
    </row>
    <row r="228" customFormat="false" ht="15" hidden="false" customHeight="true" outlineLevel="0" collapsed="false">
      <c r="B228" s="22" t="s">
        <v>21</v>
      </c>
      <c r="C228" s="22"/>
      <c r="D228" s="23" t="n">
        <f aca="false">D219-D225+D227</f>
        <v>316125.573923341</v>
      </c>
    </row>
    <row r="230" customFormat="false" ht="19.5" hidden="false" customHeight="true" outlineLevel="0" collapsed="false">
      <c r="B230" s="6" t="s">
        <v>61</v>
      </c>
      <c r="C230" s="6"/>
      <c r="D230" s="6"/>
    </row>
    <row r="231" customFormat="false" ht="15" hidden="false" customHeight="true" outlineLevel="0" collapsed="false">
      <c r="B231" s="7" t="s">
        <v>4</v>
      </c>
      <c r="C231" s="7" t="s">
        <v>5</v>
      </c>
      <c r="D231" s="7" t="s">
        <v>6</v>
      </c>
    </row>
    <row r="232" customFormat="false" ht="15" hidden="false" customHeight="true" outlineLevel="0" collapsed="false">
      <c r="B232" s="8" t="s">
        <v>62</v>
      </c>
      <c r="C232" s="9" t="n">
        <v>1.34</v>
      </c>
      <c r="D232" s="10" t="n">
        <v>0.84</v>
      </c>
    </row>
    <row r="233" customFormat="false" ht="15" hidden="false" customHeight="true" outlineLevel="0" collapsed="false">
      <c r="B233" s="11" t="s">
        <v>8</v>
      </c>
      <c r="C233" s="11"/>
      <c r="D233" s="12" t="n">
        <f aca="false">PRODUCT(C232)</f>
        <v>1.34</v>
      </c>
    </row>
    <row r="234" customFormat="false" ht="15" hidden="false" customHeight="true" outlineLevel="0" collapsed="false">
      <c r="B234" s="11" t="s">
        <v>9</v>
      </c>
      <c r="C234" s="11"/>
      <c r="D234" s="13" t="n">
        <f aca="false">PRODUCT(D232)</f>
        <v>0.84</v>
      </c>
    </row>
    <row r="235" customFormat="false" ht="15" hidden="false" customHeight="true" outlineLevel="0" collapsed="false">
      <c r="B235" s="11" t="s">
        <v>10</v>
      </c>
      <c r="C235" s="11"/>
      <c r="D235" s="14" t="n">
        <f aca="false">$D$228</f>
        <v>316125.573923341</v>
      </c>
    </row>
    <row r="236" customFormat="false" ht="15" hidden="false" customHeight="true" outlineLevel="0" collapsed="false">
      <c r="B236" s="15" t="s">
        <v>11</v>
      </c>
      <c r="C236" s="16" t="s">
        <v>12</v>
      </c>
      <c r="D236" s="16" t="s">
        <v>13</v>
      </c>
    </row>
    <row r="237" customFormat="false" ht="15" hidden="false" customHeight="true" outlineLevel="0" collapsed="false">
      <c r="B237" s="17" t="s">
        <v>14</v>
      </c>
      <c r="C237" s="18" t="n">
        <f aca="false">MAX(0,MIN(1,((D234*D233-1)/(D233-1))*0.5))</f>
        <v>0.184705882352941</v>
      </c>
      <c r="D237" s="19" t="n">
        <f aca="false">D235*C237</f>
        <v>58390.2530658407</v>
      </c>
    </row>
    <row r="238" customFormat="false" ht="15" hidden="false" customHeight="true" outlineLevel="0" collapsed="false">
      <c r="B238" s="17" t="s">
        <v>15</v>
      </c>
      <c r="C238" s="18" t="n">
        <f aca="false">MAX(0,MIN(1,((D234*D233-1)/(D233-1))*0.666666666666667))</f>
        <v>0.246274509803922</v>
      </c>
      <c r="D238" s="19" t="n">
        <f aca="false">D235*C238</f>
        <v>77853.6707544542</v>
      </c>
    </row>
    <row r="239" customFormat="false" ht="15" hidden="false" customHeight="true" outlineLevel="0" collapsed="false">
      <c r="B239" s="17" t="s">
        <v>16</v>
      </c>
      <c r="C239" s="18" t="n">
        <f aca="false">MAX(0,MIN(1,((D234*D233-1)/(D233-1))*1))</f>
        <v>0.369411764705882</v>
      </c>
      <c r="D239" s="19" t="n">
        <f aca="false">D235*C239</f>
        <v>116780.506131681</v>
      </c>
    </row>
    <row r="240" customFormat="false" ht="15" hidden="false" customHeight="true" outlineLevel="0" collapsed="false">
      <c r="B240" s="11" t="s">
        <v>17</v>
      </c>
      <c r="C240" s="11"/>
      <c r="D240" s="20" t="n">
        <v>1</v>
      </c>
    </row>
    <row r="241" customFormat="false" ht="15" hidden="false" customHeight="true" outlineLevel="0" collapsed="false">
      <c r="B241" s="11" t="s">
        <v>18</v>
      </c>
      <c r="C241" s="11"/>
      <c r="D241" s="14" t="n">
        <f aca="false">D235*D240</f>
        <v>316125.573923341</v>
      </c>
    </row>
    <row r="242" customFormat="false" ht="15" hidden="false" customHeight="true" outlineLevel="0" collapsed="false">
      <c r="B242" s="11" t="s">
        <v>19</v>
      </c>
      <c r="C242" s="11"/>
      <c r="D242" s="21" t="n">
        <v>1</v>
      </c>
    </row>
    <row r="243" customFormat="false" ht="15" hidden="false" customHeight="true" outlineLevel="0" collapsed="false">
      <c r="B243" s="11" t="s">
        <v>20</v>
      </c>
      <c r="C243" s="11"/>
      <c r="D243" s="14" t="n">
        <f aca="false">IF(D242=1,D241*D233,0)</f>
        <v>423608.269057278</v>
      </c>
    </row>
    <row r="244" customFormat="false" ht="15" hidden="false" customHeight="true" outlineLevel="0" collapsed="false">
      <c r="B244" s="22" t="s">
        <v>21</v>
      </c>
      <c r="C244" s="22"/>
      <c r="D244" s="23" t="n">
        <f aca="false">D235-D241+D243</f>
        <v>423608.269057278</v>
      </c>
    </row>
    <row r="246" customFormat="false" ht="19.5" hidden="false" customHeight="true" outlineLevel="0" collapsed="false">
      <c r="B246" s="6" t="s">
        <v>63</v>
      </c>
      <c r="C246" s="6"/>
      <c r="D246" s="6"/>
    </row>
    <row r="247" customFormat="false" ht="15" hidden="false" customHeight="true" outlineLevel="0" collapsed="false">
      <c r="B247" s="7" t="s">
        <v>4</v>
      </c>
      <c r="C247" s="7" t="s">
        <v>5</v>
      </c>
      <c r="D247" s="7" t="s">
        <v>6</v>
      </c>
    </row>
    <row r="248" customFormat="false" ht="15" hidden="false" customHeight="true" outlineLevel="0" collapsed="false">
      <c r="B248" s="8" t="s">
        <v>64</v>
      </c>
      <c r="C248" s="9" t="n">
        <v>1.47</v>
      </c>
      <c r="D248" s="10" t="n">
        <v>0.73</v>
      </c>
    </row>
    <row r="249" customFormat="false" ht="15" hidden="false" customHeight="true" outlineLevel="0" collapsed="false">
      <c r="B249" s="8" t="s">
        <v>65</v>
      </c>
      <c r="C249" s="9" t="n">
        <v>1.3</v>
      </c>
      <c r="D249" s="10" t="n">
        <v>0.86</v>
      </c>
    </row>
    <row r="250" customFormat="false" ht="15" hidden="false" customHeight="true" outlineLevel="0" collapsed="false">
      <c r="B250" s="11" t="s">
        <v>8</v>
      </c>
      <c r="C250" s="11"/>
      <c r="D250" s="12" t="n">
        <f aca="false">PRODUCT(C248:C249)</f>
        <v>1.911</v>
      </c>
    </row>
    <row r="251" customFormat="false" ht="15" hidden="false" customHeight="true" outlineLevel="0" collapsed="false">
      <c r="B251" s="11" t="s">
        <v>9</v>
      </c>
      <c r="C251" s="11"/>
      <c r="D251" s="13" t="n">
        <f aca="false">PRODUCT(D248:D249)</f>
        <v>0.6278</v>
      </c>
    </row>
    <row r="252" customFormat="false" ht="15" hidden="false" customHeight="true" outlineLevel="0" collapsed="false">
      <c r="B252" s="11" t="s">
        <v>10</v>
      </c>
      <c r="C252" s="11"/>
      <c r="D252" s="14" t="n">
        <f aca="false">$D$244</f>
        <v>423608.269057278</v>
      </c>
    </row>
    <row r="253" customFormat="false" ht="15" hidden="false" customHeight="true" outlineLevel="0" collapsed="false">
      <c r="B253" s="15" t="s">
        <v>11</v>
      </c>
      <c r="C253" s="16" t="s">
        <v>12</v>
      </c>
      <c r="D253" s="16" t="s">
        <v>13</v>
      </c>
    </row>
    <row r="254" customFormat="false" ht="15" hidden="false" customHeight="true" outlineLevel="0" collapsed="false">
      <c r="B254" s="17" t="s">
        <v>14</v>
      </c>
      <c r="C254" s="18" t="n">
        <f aca="false">MAX(0,MIN(1,((D251*D250-1)/(D250-1))*0.5))</f>
        <v>0.109618990120747</v>
      </c>
      <c r="D254" s="19" t="n">
        <f aca="false">D252*C254</f>
        <v>46435.5106608562</v>
      </c>
    </row>
    <row r="255" customFormat="false" ht="15" hidden="false" customHeight="true" outlineLevel="0" collapsed="false">
      <c r="B255" s="17" t="s">
        <v>15</v>
      </c>
      <c r="C255" s="18" t="n">
        <f aca="false">MAX(0,MIN(1,((D251*D250-1)/(D250-1))*0.666666666666667))</f>
        <v>0.146158653494329</v>
      </c>
      <c r="D255" s="19" t="n">
        <f aca="false">D252*C255</f>
        <v>61914.014214475</v>
      </c>
    </row>
    <row r="256" customFormat="false" ht="15" hidden="false" customHeight="true" outlineLevel="0" collapsed="false">
      <c r="B256" s="17" t="s">
        <v>16</v>
      </c>
      <c r="C256" s="18" t="n">
        <f aca="false">MAX(0,MIN(1,((D251*D250-1)/(D250-1))*1))</f>
        <v>0.219237980241493</v>
      </c>
      <c r="D256" s="19" t="n">
        <f aca="false">D252*C256</f>
        <v>92871.0213217125</v>
      </c>
    </row>
    <row r="257" customFormat="false" ht="15" hidden="false" customHeight="true" outlineLevel="0" collapsed="false">
      <c r="B257" s="11" t="s">
        <v>17</v>
      </c>
      <c r="C257" s="11"/>
      <c r="D257" s="20" t="n">
        <v>1</v>
      </c>
    </row>
    <row r="258" customFormat="false" ht="15" hidden="false" customHeight="true" outlineLevel="0" collapsed="false">
      <c r="B258" s="11" t="s">
        <v>18</v>
      </c>
      <c r="C258" s="11"/>
      <c r="D258" s="14" t="n">
        <f aca="false">D252*D257</f>
        <v>423608.269057278</v>
      </c>
    </row>
    <row r="259" customFormat="false" ht="15" hidden="false" customHeight="true" outlineLevel="0" collapsed="false">
      <c r="B259" s="11" t="s">
        <v>19</v>
      </c>
      <c r="C259" s="11"/>
      <c r="D259" s="21" t="n">
        <v>1</v>
      </c>
    </row>
    <row r="260" customFormat="false" ht="15" hidden="false" customHeight="true" outlineLevel="0" collapsed="false">
      <c r="B260" s="11" t="s">
        <v>20</v>
      </c>
      <c r="C260" s="11"/>
      <c r="D260" s="14" t="n">
        <f aca="false">IF(D259=1,D258*D250,0)</f>
        <v>809515.402168457</v>
      </c>
    </row>
    <row r="261" customFormat="false" ht="15" hidden="false" customHeight="true" outlineLevel="0" collapsed="false">
      <c r="B261" s="22" t="s">
        <v>21</v>
      </c>
      <c r="C261" s="22"/>
      <c r="D261" s="23" t="n">
        <f aca="false">D252-D258+D260</f>
        <v>809515.402168457</v>
      </c>
    </row>
    <row r="263" customFormat="false" ht="19.5" hidden="false" customHeight="true" outlineLevel="0" collapsed="false">
      <c r="B263" s="6" t="s">
        <v>66</v>
      </c>
      <c r="C263" s="6"/>
      <c r="D263" s="6"/>
    </row>
    <row r="264" customFormat="false" ht="15" hidden="false" customHeight="true" outlineLevel="0" collapsed="false">
      <c r="B264" s="7" t="s">
        <v>4</v>
      </c>
      <c r="C264" s="7" t="s">
        <v>5</v>
      </c>
      <c r="D264" s="7" t="s">
        <v>6</v>
      </c>
    </row>
    <row r="265" customFormat="false" ht="15" hidden="false" customHeight="true" outlineLevel="0" collapsed="false">
      <c r="B265" s="8" t="s">
        <v>67</v>
      </c>
      <c r="C265" s="9" t="n">
        <v>1.2</v>
      </c>
      <c r="D265" s="10" t="n">
        <v>0.95</v>
      </c>
    </row>
    <row r="266" customFormat="false" ht="15" hidden="false" customHeight="true" outlineLevel="0" collapsed="false">
      <c r="B266" s="8" t="s">
        <v>68</v>
      </c>
      <c r="C266" s="9" t="n">
        <v>1.2</v>
      </c>
      <c r="D266" s="10" t="n">
        <v>0.91</v>
      </c>
    </row>
    <row r="267" customFormat="false" ht="15" hidden="false" customHeight="true" outlineLevel="0" collapsed="false">
      <c r="B267" s="11" t="s">
        <v>8</v>
      </c>
      <c r="C267" s="11"/>
      <c r="D267" s="12" t="n">
        <f aca="false">PRODUCT(C265:C266)</f>
        <v>1.44</v>
      </c>
    </row>
    <row r="268" customFormat="false" ht="15" hidden="false" customHeight="true" outlineLevel="0" collapsed="false">
      <c r="B268" s="11" t="s">
        <v>9</v>
      </c>
      <c r="C268" s="11"/>
      <c r="D268" s="13" t="n">
        <f aca="false">PRODUCT(D265:D266)</f>
        <v>0.8645</v>
      </c>
    </row>
    <row r="269" customFormat="false" ht="15" hidden="false" customHeight="true" outlineLevel="0" collapsed="false">
      <c r="B269" s="11" t="s">
        <v>10</v>
      </c>
      <c r="C269" s="11"/>
      <c r="D269" s="14" t="n">
        <f aca="false">$D$261</f>
        <v>809515.402168457</v>
      </c>
    </row>
    <row r="270" customFormat="false" ht="15" hidden="false" customHeight="true" outlineLevel="0" collapsed="false">
      <c r="B270" s="15" t="s">
        <v>11</v>
      </c>
      <c r="C270" s="16" t="s">
        <v>12</v>
      </c>
      <c r="D270" s="16" t="s">
        <v>13</v>
      </c>
    </row>
    <row r="271" customFormat="false" ht="15" hidden="false" customHeight="true" outlineLevel="0" collapsed="false">
      <c r="B271" s="17" t="s">
        <v>14</v>
      </c>
      <c r="C271" s="18" t="n">
        <f aca="false">MAX(0,MIN(1,((D268*D267-1)/(D267-1))*0.5))</f>
        <v>0.278272727272727</v>
      </c>
      <c r="D271" s="19" t="n">
        <f aca="false">D269*C271</f>
        <v>225266.058730695</v>
      </c>
    </row>
    <row r="272" customFormat="false" ht="15" hidden="false" customHeight="true" outlineLevel="0" collapsed="false">
      <c r="B272" s="17" t="s">
        <v>15</v>
      </c>
      <c r="C272" s="18" t="n">
        <f aca="false">MAX(0,MIN(1,((D268*D267-1)/(D267-1))*0.666666666666667))</f>
        <v>0.371030303030303</v>
      </c>
      <c r="D272" s="19" t="n">
        <f aca="false">D269*C272</f>
        <v>300354.74497426</v>
      </c>
    </row>
    <row r="273" customFormat="false" ht="15" hidden="false" customHeight="true" outlineLevel="0" collapsed="false">
      <c r="B273" s="17" t="s">
        <v>16</v>
      </c>
      <c r="C273" s="18" t="n">
        <f aca="false">MAX(0,MIN(1,((D268*D267-1)/(D267-1))*1))</f>
        <v>0.556545454545454</v>
      </c>
      <c r="D273" s="19" t="n">
        <f aca="false">D269*C273</f>
        <v>450532.11746139</v>
      </c>
    </row>
    <row r="274" customFormat="false" ht="15" hidden="false" customHeight="true" outlineLevel="0" collapsed="false">
      <c r="B274" s="11" t="s">
        <v>17</v>
      </c>
      <c r="C274" s="11"/>
      <c r="D274" s="20" t="n">
        <v>1</v>
      </c>
    </row>
    <row r="275" customFormat="false" ht="15" hidden="false" customHeight="true" outlineLevel="0" collapsed="false">
      <c r="B275" s="11" t="s">
        <v>18</v>
      </c>
      <c r="C275" s="11"/>
      <c r="D275" s="14" t="n">
        <f aca="false">D269*D274</f>
        <v>809515.402168457</v>
      </c>
    </row>
    <row r="276" customFormat="false" ht="15" hidden="false" customHeight="true" outlineLevel="0" collapsed="false">
      <c r="B276" s="11" t="s">
        <v>19</v>
      </c>
      <c r="C276" s="11"/>
      <c r="D276" s="21" t="n">
        <v>1</v>
      </c>
    </row>
    <row r="277" customFormat="false" ht="15" hidden="false" customHeight="true" outlineLevel="0" collapsed="false">
      <c r="B277" s="11" t="s">
        <v>20</v>
      </c>
      <c r="C277" s="11"/>
      <c r="D277" s="14" t="n">
        <f aca="false">IF(D276=1,D275*D267,0)</f>
        <v>1165702.17912258</v>
      </c>
    </row>
    <row r="278" customFormat="false" ht="15" hidden="false" customHeight="true" outlineLevel="0" collapsed="false">
      <c r="B278" s="22" t="s">
        <v>21</v>
      </c>
      <c r="C278" s="22"/>
      <c r="D278" s="23" t="n">
        <f aca="false">D269-D275+D277</f>
        <v>1165702.17912258</v>
      </c>
    </row>
    <row r="280" customFormat="false" ht="15" hidden="false" customHeight="true" outlineLevel="0" collapsed="false">
      <c r="B280" s="24" t="s">
        <v>69</v>
      </c>
      <c r="C280" s="24"/>
      <c r="D280" s="25" t="n">
        <f aca="false">$D$278</f>
        <v>1165702.17912258</v>
      </c>
    </row>
    <row r="282" customFormat="false" ht="69.75" hidden="false" customHeight="true" outlineLevel="0" collapsed="false">
      <c r="B282" s="26" t="s">
        <v>70</v>
      </c>
      <c r="C282" s="26"/>
      <c r="D282" s="26"/>
    </row>
  </sheetData>
  <mergeCells count="149">
    <mergeCell ref="B2:D2"/>
    <mergeCell ref="B3:D3"/>
    <mergeCell ref="B5:C5"/>
    <mergeCell ref="B7:D7"/>
    <mergeCell ref="B10:C10"/>
    <mergeCell ref="B11:C11"/>
    <mergeCell ref="B12:C12"/>
    <mergeCell ref="B17:C17"/>
    <mergeCell ref="B18:C18"/>
    <mergeCell ref="B19:C19"/>
    <mergeCell ref="B20:C20"/>
    <mergeCell ref="B21:C21"/>
    <mergeCell ref="B23:D23"/>
    <mergeCell ref="B27:C27"/>
    <mergeCell ref="B28:C28"/>
    <mergeCell ref="B29:C29"/>
    <mergeCell ref="B34:C34"/>
    <mergeCell ref="B35:C35"/>
    <mergeCell ref="B36:C36"/>
    <mergeCell ref="B37:C37"/>
    <mergeCell ref="B38:C38"/>
    <mergeCell ref="B40:D40"/>
    <mergeCell ref="B43:C43"/>
    <mergeCell ref="B44:C44"/>
    <mergeCell ref="B45:C45"/>
    <mergeCell ref="B50:C50"/>
    <mergeCell ref="B51:C51"/>
    <mergeCell ref="B52:C52"/>
    <mergeCell ref="B53:C53"/>
    <mergeCell ref="B54:C54"/>
    <mergeCell ref="B56:D56"/>
    <mergeCell ref="B60:C60"/>
    <mergeCell ref="B61:C61"/>
    <mergeCell ref="B62:C62"/>
    <mergeCell ref="B67:C67"/>
    <mergeCell ref="B68:C68"/>
    <mergeCell ref="B69:C69"/>
    <mergeCell ref="B70:C70"/>
    <mergeCell ref="B71:C71"/>
    <mergeCell ref="B73:D73"/>
    <mergeCell ref="B78:C78"/>
    <mergeCell ref="B79:C79"/>
    <mergeCell ref="B80:C80"/>
    <mergeCell ref="B85:C85"/>
    <mergeCell ref="B86:C86"/>
    <mergeCell ref="B87:C87"/>
    <mergeCell ref="B88:C88"/>
    <mergeCell ref="B89:C89"/>
    <mergeCell ref="B91:D91"/>
    <mergeCell ref="B96:C96"/>
    <mergeCell ref="B97:C97"/>
    <mergeCell ref="B98:C98"/>
    <mergeCell ref="B103:C103"/>
    <mergeCell ref="B104:C104"/>
    <mergeCell ref="B105:C105"/>
    <mergeCell ref="B106:C106"/>
    <mergeCell ref="B107:C107"/>
    <mergeCell ref="B109:D109"/>
    <mergeCell ref="B112:C112"/>
    <mergeCell ref="B113:C113"/>
    <mergeCell ref="B114:C114"/>
    <mergeCell ref="B119:C119"/>
    <mergeCell ref="B120:C120"/>
    <mergeCell ref="B121:C121"/>
    <mergeCell ref="B122:C122"/>
    <mergeCell ref="B123:C123"/>
    <mergeCell ref="B125:D125"/>
    <mergeCell ref="B129:C129"/>
    <mergeCell ref="B130:C130"/>
    <mergeCell ref="B131:C131"/>
    <mergeCell ref="B136:C136"/>
    <mergeCell ref="B137:C137"/>
    <mergeCell ref="B138:C138"/>
    <mergeCell ref="B139:C139"/>
    <mergeCell ref="B140:C140"/>
    <mergeCell ref="B142:D142"/>
    <mergeCell ref="B145:C145"/>
    <mergeCell ref="B146:C146"/>
    <mergeCell ref="B147:C147"/>
    <mergeCell ref="B152:C152"/>
    <mergeCell ref="B153:C153"/>
    <mergeCell ref="B154:C154"/>
    <mergeCell ref="B155:C155"/>
    <mergeCell ref="B156:C156"/>
    <mergeCell ref="B158:D158"/>
    <mergeCell ref="B164:C164"/>
    <mergeCell ref="B165:C165"/>
    <mergeCell ref="B166:C166"/>
    <mergeCell ref="B171:C171"/>
    <mergeCell ref="B172:C172"/>
    <mergeCell ref="B173:C173"/>
    <mergeCell ref="B174:C174"/>
    <mergeCell ref="B175:C175"/>
    <mergeCell ref="B177:D177"/>
    <mergeCell ref="B180:C180"/>
    <mergeCell ref="B181:C181"/>
    <mergeCell ref="B182:C182"/>
    <mergeCell ref="B187:C187"/>
    <mergeCell ref="B188:C188"/>
    <mergeCell ref="B189:C189"/>
    <mergeCell ref="B190:C190"/>
    <mergeCell ref="B191:C191"/>
    <mergeCell ref="B193:D193"/>
    <mergeCell ref="B199:C199"/>
    <mergeCell ref="B200:C200"/>
    <mergeCell ref="B201:C201"/>
    <mergeCell ref="B206:C206"/>
    <mergeCell ref="B207:C207"/>
    <mergeCell ref="B208:C208"/>
    <mergeCell ref="B209:C209"/>
    <mergeCell ref="B210:C210"/>
    <mergeCell ref="B212:D212"/>
    <mergeCell ref="B217:C217"/>
    <mergeCell ref="B218:C218"/>
    <mergeCell ref="B219:C219"/>
    <mergeCell ref="B224:C224"/>
    <mergeCell ref="B225:C225"/>
    <mergeCell ref="B226:C226"/>
    <mergeCell ref="B227:C227"/>
    <mergeCell ref="B228:C228"/>
    <mergeCell ref="B230:D230"/>
    <mergeCell ref="B233:C233"/>
    <mergeCell ref="B234:C234"/>
    <mergeCell ref="B235:C235"/>
    <mergeCell ref="B240:C240"/>
    <mergeCell ref="B241:C241"/>
    <mergeCell ref="B242:C242"/>
    <mergeCell ref="B243:C243"/>
    <mergeCell ref="B244:C244"/>
    <mergeCell ref="B246:D246"/>
    <mergeCell ref="B250:C250"/>
    <mergeCell ref="B251:C251"/>
    <mergeCell ref="B252:C252"/>
    <mergeCell ref="B257:C257"/>
    <mergeCell ref="B258:C258"/>
    <mergeCell ref="B259:C259"/>
    <mergeCell ref="B260:C260"/>
    <mergeCell ref="B261:C261"/>
    <mergeCell ref="B263:D263"/>
    <mergeCell ref="B267:C267"/>
    <mergeCell ref="B268:C268"/>
    <mergeCell ref="B269:C269"/>
    <mergeCell ref="B274:C274"/>
    <mergeCell ref="B275:C275"/>
    <mergeCell ref="B276:C276"/>
    <mergeCell ref="B277:C277"/>
    <mergeCell ref="B278:C278"/>
    <mergeCell ref="B280:C280"/>
    <mergeCell ref="B282:D28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5" min="3" style="1" width="15"/>
    <col collapsed="false" customWidth="true" hidden="false" outlineLevel="0" max="6" min="6" style="1" width="3"/>
  </cols>
  <sheetData>
    <row r="2" customFormat="false" ht="27.75" hidden="false" customHeight="true" outlineLevel="0" collapsed="false">
      <c r="B2" s="27" t="s">
        <v>71</v>
      </c>
      <c r="C2" s="27"/>
      <c r="D2" s="27"/>
      <c r="E2" s="27"/>
    </row>
    <row r="3" customFormat="false" ht="31.5" hidden="false" customHeight="true" outlineLevel="0" collapsed="false">
      <c r="B3" s="3" t="s">
        <v>72</v>
      </c>
      <c r="C3" s="3"/>
      <c r="D3" s="3"/>
      <c r="E3" s="3"/>
    </row>
    <row r="5" customFormat="false" ht="30" hidden="false" customHeight="true" outlineLevel="0" collapsed="false">
      <c r="B5" s="28" t="s">
        <v>73</v>
      </c>
      <c r="C5" s="29" t="s">
        <v>74</v>
      </c>
      <c r="D5" s="30" t="s">
        <v>15</v>
      </c>
      <c r="E5" s="31" t="s">
        <v>16</v>
      </c>
    </row>
    <row r="6" customFormat="false" ht="21.75" hidden="false" customHeight="true" outlineLevel="0" collapsed="false">
      <c r="B6" s="32" t="s">
        <v>75</v>
      </c>
      <c r="C6" s="33" t="s">
        <v>76</v>
      </c>
      <c r="D6" s="34" t="s">
        <v>77</v>
      </c>
      <c r="E6" s="35" t="s">
        <v>78</v>
      </c>
    </row>
    <row r="7" customFormat="false" ht="21.75" hidden="false" customHeight="true" outlineLevel="0" collapsed="false">
      <c r="B7" s="36" t="s">
        <v>79</v>
      </c>
      <c r="C7" s="33" t="s">
        <v>80</v>
      </c>
      <c r="D7" s="34" t="s">
        <v>81</v>
      </c>
      <c r="E7" s="35" t="s">
        <v>82</v>
      </c>
    </row>
    <row r="8" customFormat="false" ht="21.75" hidden="false" customHeight="true" outlineLevel="0" collapsed="false">
      <c r="B8" s="32" t="s">
        <v>83</v>
      </c>
      <c r="C8" s="33" t="s">
        <v>84</v>
      </c>
      <c r="D8" s="34" t="s">
        <v>84</v>
      </c>
      <c r="E8" s="35" t="s">
        <v>85</v>
      </c>
    </row>
    <row r="9" customFormat="false" ht="21.75" hidden="false" customHeight="true" outlineLevel="0" collapsed="false">
      <c r="B9" s="36" t="s">
        <v>86</v>
      </c>
      <c r="C9" s="33" t="s">
        <v>87</v>
      </c>
      <c r="D9" s="34" t="s">
        <v>88</v>
      </c>
      <c r="E9" s="35" t="s">
        <v>89</v>
      </c>
    </row>
    <row r="10" customFormat="false" ht="21.75" hidden="false" customHeight="true" outlineLevel="0" collapsed="false">
      <c r="B10" s="32" t="s">
        <v>90</v>
      </c>
      <c r="C10" s="33" t="s">
        <v>91</v>
      </c>
      <c r="D10" s="34" t="s">
        <v>92</v>
      </c>
      <c r="E10" s="35" t="s">
        <v>93</v>
      </c>
    </row>
    <row r="12" customFormat="false" ht="15" hidden="false" customHeight="true" outlineLevel="0" collapsed="false">
      <c r="B12" s="37" t="s">
        <v>94</v>
      </c>
      <c r="C12" s="37"/>
      <c r="D12" s="37"/>
      <c r="E12" s="37"/>
    </row>
    <row r="13" customFormat="false" ht="30" hidden="false" customHeight="true" outlineLevel="0" collapsed="false">
      <c r="B13" s="38" t="s">
        <v>95</v>
      </c>
      <c r="C13" s="38"/>
      <c r="D13" s="38"/>
      <c r="E13" s="38"/>
    </row>
    <row r="14" customFormat="false" ht="30" hidden="false" customHeight="true" outlineLevel="0" collapsed="false">
      <c r="B14" s="38" t="s">
        <v>96</v>
      </c>
      <c r="C14" s="38"/>
      <c r="D14" s="38"/>
      <c r="E14" s="38"/>
    </row>
    <row r="15" customFormat="false" ht="30" hidden="false" customHeight="true" outlineLevel="0" collapsed="false">
      <c r="B15" s="38" t="s">
        <v>97</v>
      </c>
      <c r="C15" s="38"/>
      <c r="D15" s="38"/>
      <c r="E15" s="38"/>
    </row>
    <row r="16" customFormat="false" ht="30" hidden="false" customHeight="true" outlineLevel="0" collapsed="false">
      <c r="B16" s="38" t="s">
        <v>98</v>
      </c>
      <c r="C16" s="38"/>
      <c r="D16" s="38"/>
      <c r="E16" s="38"/>
    </row>
    <row r="17" customFormat="false" ht="30" hidden="false" customHeight="true" outlineLevel="0" collapsed="false">
      <c r="B17" s="38" t="s">
        <v>99</v>
      </c>
      <c r="C17" s="38"/>
      <c r="D17" s="38"/>
      <c r="E17" s="38"/>
    </row>
    <row r="19" customFormat="false" ht="33.75" hidden="false" customHeight="true" outlineLevel="0" collapsed="false">
      <c r="B19" s="39" t="s">
        <v>100</v>
      </c>
      <c r="C19" s="39"/>
      <c r="D19" s="39"/>
      <c r="E19" s="39"/>
    </row>
  </sheetData>
  <mergeCells count="9">
    <mergeCell ref="B2:E2"/>
    <mergeCell ref="B3:E3"/>
    <mergeCell ref="B12:E12"/>
    <mergeCell ref="B13:E13"/>
    <mergeCell ref="B14:E14"/>
    <mergeCell ref="B15:E15"/>
    <mergeCell ref="B16:E16"/>
    <mergeCell ref="B17:E17"/>
    <mergeCell ref="B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8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5"/>
    <col collapsed="false" customWidth="true" hidden="false" outlineLevel="0" max="9" min="8" style="0" width="14"/>
    <col collapsed="false" customWidth="true" hidden="false" outlineLevel="0" max="10" min="10" style="0" width="16"/>
  </cols>
  <sheetData>
    <row r="2" customFormat="false" ht="25.5" hidden="false" customHeight="true" outlineLevel="0" collapsed="false">
      <c r="B2" s="40" t="s">
        <v>101</v>
      </c>
      <c r="C2" s="40"/>
      <c r="D2" s="40"/>
      <c r="E2" s="40"/>
      <c r="F2" s="40"/>
      <c r="G2" s="40"/>
      <c r="H2" s="40"/>
      <c r="I2" s="40"/>
      <c r="J2" s="40"/>
    </row>
    <row r="3" customFormat="false" ht="25.5" hidden="false" customHeight="true" outlineLevel="0" collapsed="false">
      <c r="B3" s="3" t="s">
        <v>102</v>
      </c>
      <c r="C3" s="3"/>
      <c r="D3" s="3"/>
      <c r="E3" s="3"/>
      <c r="F3" s="3"/>
      <c r="G3" s="3"/>
      <c r="H3" s="3"/>
      <c r="I3" s="3"/>
      <c r="J3" s="3"/>
    </row>
    <row r="5" customFormat="false" ht="15" hidden="false" customHeight="true" outlineLevel="0" collapsed="false">
      <c r="B5" s="41" t="s">
        <v>103</v>
      </c>
      <c r="C5" s="41"/>
      <c r="D5" s="41"/>
      <c r="E5" s="5" t="n">
        <v>100</v>
      </c>
    </row>
    <row r="7" customFormat="false" ht="27.75" hidden="false" customHeight="true" outlineLevel="0" collapsed="false">
      <c r="B7" s="7" t="s">
        <v>104</v>
      </c>
      <c r="C7" s="7" t="s">
        <v>105</v>
      </c>
      <c r="D7" s="7" t="s">
        <v>106</v>
      </c>
      <c r="E7" s="7" t="s">
        <v>107</v>
      </c>
      <c r="F7" s="7" t="s">
        <v>108</v>
      </c>
      <c r="G7" s="7" t="s">
        <v>109</v>
      </c>
      <c r="H7" s="7" t="s">
        <v>110</v>
      </c>
      <c r="I7" s="7" t="s">
        <v>111</v>
      </c>
      <c r="J7" s="7" t="s">
        <v>112</v>
      </c>
    </row>
    <row r="8" customFormat="false" ht="15" hidden="false" customHeight="false" outlineLevel="0" collapsed="false">
      <c r="B8" s="42" t="n">
        <v>1</v>
      </c>
      <c r="C8" s="42" t="s">
        <v>113</v>
      </c>
      <c r="D8" s="43" t="n">
        <v>1.45</v>
      </c>
      <c r="E8" s="13" t="n">
        <v>0.75</v>
      </c>
      <c r="F8" s="13" t="n">
        <f aca="false">MAX(0,MIN(1,((E8*D8-1)/(D8-1))*0.5))</f>
        <v>0.0972222222222221</v>
      </c>
      <c r="G8" s="14" t="n">
        <f aca="false">$E$5</f>
        <v>100</v>
      </c>
      <c r="H8" s="14" t="n">
        <f aca="false">G8*F8</f>
        <v>9.72222222222221</v>
      </c>
      <c r="I8" s="14" t="n">
        <f aca="false">H8*(D8-1)</f>
        <v>4.375</v>
      </c>
      <c r="J8" s="44" t="n">
        <f aca="false">G8+I8</f>
        <v>104.375</v>
      </c>
    </row>
    <row r="9" customFormat="false" ht="15" hidden="false" customHeight="false" outlineLevel="0" collapsed="false">
      <c r="B9" s="45" t="n">
        <v>2</v>
      </c>
      <c r="C9" s="45" t="s">
        <v>114</v>
      </c>
      <c r="D9" s="46" t="n">
        <v>2.268</v>
      </c>
      <c r="E9" s="47" t="n">
        <v>0.6786</v>
      </c>
      <c r="F9" s="47" t="n">
        <f aca="false">MAX(0,MIN(1,((E9*D9-1)/(D9-1))*0.5))</f>
        <v>0.212564984227129</v>
      </c>
      <c r="G9" s="48" t="n">
        <f aca="false">$J$8</f>
        <v>104.375</v>
      </c>
      <c r="H9" s="48" t="n">
        <f aca="false">G9*F9</f>
        <v>22.1864702287066</v>
      </c>
      <c r="I9" s="48" t="n">
        <f aca="false">H9*(D9-1)</f>
        <v>28.13244425</v>
      </c>
      <c r="J9" s="44" t="n">
        <f aca="false">G9+I9</f>
        <v>132.50744425</v>
      </c>
    </row>
    <row r="10" customFormat="false" ht="15" hidden="false" customHeight="false" outlineLevel="0" collapsed="false">
      <c r="B10" s="42" t="n">
        <v>3</v>
      </c>
      <c r="C10" s="42" t="s">
        <v>115</v>
      </c>
      <c r="D10" s="43" t="n">
        <v>1.05</v>
      </c>
      <c r="E10" s="13" t="n">
        <v>0.98</v>
      </c>
      <c r="F10" s="13" t="n">
        <f aca="false">MAX(0,MIN(1,((E10*D10-1)/(D10-1))*0.5))</f>
        <v>0.289999999999999</v>
      </c>
      <c r="G10" s="14" t="n">
        <f aca="false">$J$9</f>
        <v>132.50744425</v>
      </c>
      <c r="H10" s="14" t="n">
        <f aca="false">G10*F10</f>
        <v>38.4271588324999</v>
      </c>
      <c r="I10" s="14" t="n">
        <f aca="false">H10*(D10-1)</f>
        <v>1.92135794162499</v>
      </c>
      <c r="J10" s="44" t="n">
        <f aca="false">G10+I10</f>
        <v>134.428802191625</v>
      </c>
    </row>
    <row r="11" customFormat="false" ht="15" hidden="false" customHeight="false" outlineLevel="0" collapsed="false">
      <c r="B11" s="45" t="n">
        <v>4</v>
      </c>
      <c r="C11" s="45" t="s">
        <v>116</v>
      </c>
      <c r="D11" s="46" t="n">
        <v>1.65</v>
      </c>
      <c r="E11" s="47" t="n">
        <v>0.653366</v>
      </c>
      <c r="F11" s="47" t="n">
        <f aca="false">MAX(0,MIN(1,((E11*D11-1)/(D11-1))*0.5))</f>
        <v>0.0600414615384616</v>
      </c>
      <c r="G11" s="48" t="n">
        <f aca="false">$J$10</f>
        <v>134.428802191625</v>
      </c>
      <c r="H11" s="48" t="n">
        <f aca="false">G11*F11</f>
        <v>8.07130175644991</v>
      </c>
      <c r="I11" s="48" t="n">
        <f aca="false">H11*(D11-1)</f>
        <v>5.24634614169244</v>
      </c>
      <c r="J11" s="44" t="n">
        <f aca="false">G11+I11</f>
        <v>139.675148333317</v>
      </c>
    </row>
    <row r="12" customFormat="false" ht="15" hidden="false" customHeight="false" outlineLevel="0" collapsed="false">
      <c r="B12" s="42" t="n">
        <v>5</v>
      </c>
      <c r="C12" s="42" t="s">
        <v>117</v>
      </c>
      <c r="D12" s="43" t="n">
        <v>2.423</v>
      </c>
      <c r="E12" s="13" t="n">
        <v>0.506514</v>
      </c>
      <c r="F12" s="13" t="n">
        <f aca="false">MAX(0,MIN(1,((E12*D12-1)/(D12-1))*0.5))</f>
        <v>0.0798606542515811</v>
      </c>
      <c r="G12" s="14" t="n">
        <f aca="false">$J$11</f>
        <v>139.675148333317</v>
      </c>
      <c r="H12" s="14" t="n">
        <f aca="false">G12*F12</f>
        <v>11.1545487285854</v>
      </c>
      <c r="I12" s="14" t="n">
        <f aca="false">H12*(D12-1)</f>
        <v>15.872922840777</v>
      </c>
      <c r="J12" s="44" t="n">
        <f aca="false">G12+I12</f>
        <v>155.548071174094</v>
      </c>
    </row>
    <row r="13" customFormat="false" ht="15" hidden="false" customHeight="false" outlineLevel="0" collapsed="false">
      <c r="B13" s="45" t="n">
        <v>6</v>
      </c>
      <c r="C13" s="45" t="s">
        <v>118</v>
      </c>
      <c r="D13" s="46" t="n">
        <v>2.345</v>
      </c>
      <c r="E13" s="47" t="n">
        <v>0.6256</v>
      </c>
      <c r="F13" s="47" t="n">
        <f aca="false">MAX(0,MIN(1,((E13*D13-1)/(D13-1))*0.5))</f>
        <v>0.173617843866171</v>
      </c>
      <c r="G13" s="48" t="n">
        <f aca="false">$J$12</f>
        <v>155.548071174094</v>
      </c>
      <c r="H13" s="48" t="n">
        <f aca="false">G13*F13</f>
        <v>27.005920734788</v>
      </c>
      <c r="I13" s="48" t="n">
        <f aca="false">H13*(D13-1)</f>
        <v>36.3229633882899</v>
      </c>
      <c r="J13" s="44" t="n">
        <f aca="false">G13+I13</f>
        <v>191.871034562384</v>
      </c>
    </row>
    <row r="14" customFormat="false" ht="15" hidden="false" customHeight="false" outlineLevel="0" collapsed="false">
      <c r="B14" s="42" t="n">
        <v>7</v>
      </c>
      <c r="C14" s="42" t="s">
        <v>119</v>
      </c>
      <c r="D14" s="43" t="n">
        <v>1.27</v>
      </c>
      <c r="E14" s="13" t="n">
        <v>0.88</v>
      </c>
      <c r="F14" s="13" t="n">
        <f aca="false">MAX(0,MIN(1,((E14*D14-1)/(D14-1))*0.5))</f>
        <v>0.217777777777778</v>
      </c>
      <c r="G14" s="14" t="n">
        <f aca="false">$J$13</f>
        <v>191.871034562384</v>
      </c>
      <c r="H14" s="14" t="n">
        <f aca="false">G14*F14</f>
        <v>41.7852475269192</v>
      </c>
      <c r="I14" s="14" t="n">
        <f aca="false">H14*(D14-1)</f>
        <v>11.2820168322682</v>
      </c>
      <c r="J14" s="44" t="n">
        <f aca="false">G14+I14</f>
        <v>203.153051394652</v>
      </c>
    </row>
    <row r="15" customFormat="false" ht="15" hidden="false" customHeight="false" outlineLevel="0" collapsed="false">
      <c r="B15" s="45" t="n">
        <v>8</v>
      </c>
      <c r="C15" s="45" t="s">
        <v>120</v>
      </c>
      <c r="D15" s="46" t="n">
        <v>2.173</v>
      </c>
      <c r="E15" s="47" t="n">
        <v>0.8118</v>
      </c>
      <c r="F15" s="47" t="n">
        <f aca="false">MAX(0,MIN(1,((E15*D15-1)/(D15-1))*0.5))</f>
        <v>0.325678346121057</v>
      </c>
      <c r="G15" s="48" t="n">
        <f aca="false">$J$14</f>
        <v>203.153051394652</v>
      </c>
      <c r="H15" s="48" t="n">
        <f aca="false">G15*F15</f>
        <v>66.1625497876565</v>
      </c>
      <c r="I15" s="48" t="n">
        <f aca="false">H15*(D15-1)</f>
        <v>77.6086709009211</v>
      </c>
      <c r="J15" s="44" t="n">
        <f aca="false">G15+I15</f>
        <v>280.761722295574</v>
      </c>
    </row>
    <row r="16" customFormat="false" ht="15" hidden="false" customHeight="false" outlineLevel="0" collapsed="false">
      <c r="B16" s="42" t="n">
        <v>9</v>
      </c>
      <c r="C16" s="42" t="s">
        <v>121</v>
      </c>
      <c r="D16" s="43" t="n">
        <v>1.27</v>
      </c>
      <c r="E16" s="13" t="n">
        <v>0.95</v>
      </c>
      <c r="F16" s="13" t="n">
        <f aca="false">MAX(0,MIN(1,((E16*D16-1)/(D16-1))*0.5))</f>
        <v>0.382407407407407</v>
      </c>
      <c r="G16" s="14" t="n">
        <f aca="false">$J$15</f>
        <v>280.761722295574</v>
      </c>
      <c r="H16" s="14" t="n">
        <f aca="false">G16*F16</f>
        <v>107.365362322289</v>
      </c>
      <c r="I16" s="14" t="n">
        <f aca="false">H16*(D16-1)</f>
        <v>28.988647827018</v>
      </c>
      <c r="J16" s="44" t="n">
        <f aca="false">G16+I16</f>
        <v>309.750370122591</v>
      </c>
    </row>
    <row r="17" customFormat="false" ht="15" hidden="false" customHeight="false" outlineLevel="0" collapsed="false">
      <c r="B17" s="45" t="n">
        <v>10</v>
      </c>
      <c r="C17" s="45" t="s">
        <v>122</v>
      </c>
      <c r="D17" s="46" t="n">
        <v>2.906</v>
      </c>
      <c r="E17" s="47" t="n">
        <v>0.42716826</v>
      </c>
      <c r="F17" s="47" t="n">
        <f aca="false">MAX(0,MIN(1,((E17*D17-1)/(D17-1))*0.5))</f>
        <v>0.0633134741762855</v>
      </c>
      <c r="G17" s="48" t="n">
        <f aca="false">$J$16</f>
        <v>309.750370122591</v>
      </c>
      <c r="H17" s="48" t="n">
        <f aca="false">G17*F17</f>
        <v>19.6113720598516</v>
      </c>
      <c r="I17" s="48" t="n">
        <f aca="false">H17*(D17-1)</f>
        <v>37.3792751460771</v>
      </c>
      <c r="J17" s="44" t="n">
        <f aca="false">G17+I17</f>
        <v>347.129645268669</v>
      </c>
    </row>
    <row r="18" customFormat="false" ht="15" hidden="false" customHeight="false" outlineLevel="0" collapsed="false">
      <c r="B18" s="42" t="n">
        <v>11</v>
      </c>
      <c r="C18" s="42" t="s">
        <v>123</v>
      </c>
      <c r="D18" s="43" t="n">
        <v>1.12</v>
      </c>
      <c r="E18" s="13" t="n">
        <v>0.96</v>
      </c>
      <c r="F18" s="13" t="n">
        <f aca="false">MAX(0,MIN(1,((E18*D18-1)/(D18-1))*0.5))</f>
        <v>0.313333333333334</v>
      </c>
      <c r="G18" s="14" t="n">
        <f aca="false">$J$17</f>
        <v>347.129645268669</v>
      </c>
      <c r="H18" s="14" t="n">
        <f aca="false">G18*F18</f>
        <v>108.76728885085</v>
      </c>
      <c r="I18" s="14" t="n">
        <f aca="false">H18*(D18-1)</f>
        <v>13.052074662102</v>
      </c>
      <c r="J18" s="44" t="n">
        <f aca="false">G18+I18</f>
        <v>360.181719930771</v>
      </c>
    </row>
    <row r="19" customFormat="false" ht="15" hidden="false" customHeight="false" outlineLevel="0" collapsed="false">
      <c r="B19" s="45" t="n">
        <v>12</v>
      </c>
      <c r="C19" s="45" t="s">
        <v>124</v>
      </c>
      <c r="D19" s="46" t="n">
        <v>3.822</v>
      </c>
      <c r="E19" s="47" t="n">
        <v>0.49077</v>
      </c>
      <c r="F19" s="47" t="n">
        <f aca="false">MAX(0,MIN(1,((E19*D19-1)/(D19-1))*0.5))</f>
        <v>0.155159982282069</v>
      </c>
      <c r="G19" s="48" t="n">
        <f aca="false">$J$18</f>
        <v>360.181719930771</v>
      </c>
      <c r="H19" s="48" t="n">
        <f aca="false">G19*F19</f>
        <v>55.8857892827836</v>
      </c>
      <c r="I19" s="48" t="n">
        <f aca="false">H19*(D19-1)</f>
        <v>157.709697356015</v>
      </c>
      <c r="J19" s="44" t="n">
        <f aca="false">G19+I19</f>
        <v>517.891417286786</v>
      </c>
    </row>
    <row r="20" customFormat="false" ht="15" hidden="false" customHeight="false" outlineLevel="0" collapsed="false">
      <c r="B20" s="42" t="n">
        <v>13</v>
      </c>
      <c r="C20" s="42" t="s">
        <v>125</v>
      </c>
      <c r="D20" s="43" t="n">
        <v>2.24</v>
      </c>
      <c r="E20" s="13" t="n">
        <v>0.68448</v>
      </c>
      <c r="F20" s="13" t="n">
        <f aca="false">MAX(0,MIN(1,((E20*D20-1)/(D20-1))*0.5))</f>
        <v>0.215014193548387</v>
      </c>
      <c r="G20" s="14" t="n">
        <f aca="false">$J$19</f>
        <v>517.891417286786</v>
      </c>
      <c r="H20" s="14" t="n">
        <f aca="false">G20*F20</f>
        <v>111.35400543355</v>
      </c>
      <c r="I20" s="14" t="n">
        <f aca="false">H20*(D20-1)</f>
        <v>138.078966737601</v>
      </c>
      <c r="J20" s="44" t="n">
        <f aca="false">G20+I20</f>
        <v>655.970384024387</v>
      </c>
    </row>
    <row r="21" customFormat="false" ht="15" hidden="false" customHeight="false" outlineLevel="0" collapsed="false">
      <c r="B21" s="45" t="n">
        <v>14</v>
      </c>
      <c r="C21" s="45" t="s">
        <v>126</v>
      </c>
      <c r="D21" s="46" t="n">
        <v>1.34</v>
      </c>
      <c r="E21" s="47" t="n">
        <v>0.84</v>
      </c>
      <c r="F21" s="47" t="n">
        <f aca="false">MAX(0,MIN(1,((E21*D21-1)/(D21-1))*0.5))</f>
        <v>0.184705882352941</v>
      </c>
      <c r="G21" s="48" t="n">
        <f aca="false">$J$20</f>
        <v>655.970384024387</v>
      </c>
      <c r="H21" s="48" t="n">
        <f aca="false">G21*F21</f>
        <v>121.161588578622</v>
      </c>
      <c r="I21" s="48" t="n">
        <f aca="false">H21*(D21-1)</f>
        <v>41.1949401167315</v>
      </c>
      <c r="J21" s="44" t="n">
        <f aca="false">G21+I21</f>
        <v>697.165324141119</v>
      </c>
    </row>
    <row r="22" customFormat="false" ht="15" hidden="false" customHeight="false" outlineLevel="0" collapsed="false">
      <c r="B22" s="42" t="n">
        <v>15</v>
      </c>
      <c r="C22" s="42" t="s">
        <v>127</v>
      </c>
      <c r="D22" s="43" t="n">
        <v>1.911</v>
      </c>
      <c r="E22" s="13" t="n">
        <v>0.6278</v>
      </c>
      <c r="F22" s="13" t="n">
        <f aca="false">MAX(0,MIN(1,((E22*D22-1)/(D22-1))*0.5))</f>
        <v>0.109618990120747</v>
      </c>
      <c r="G22" s="14" t="n">
        <f aca="false">$J$21</f>
        <v>697.165324141119</v>
      </c>
      <c r="H22" s="14" t="n">
        <f aca="false">G22*F22</f>
        <v>76.4225587795524</v>
      </c>
      <c r="I22" s="14" t="n">
        <f aca="false">H22*(D22-1)</f>
        <v>69.6209510481722</v>
      </c>
      <c r="J22" s="44" t="n">
        <f aca="false">G22+I22</f>
        <v>766.786275189291</v>
      </c>
    </row>
    <row r="23" customFormat="false" ht="15" hidden="false" customHeight="false" outlineLevel="0" collapsed="false">
      <c r="B23" s="45" t="n">
        <v>16</v>
      </c>
      <c r="C23" s="45" t="s">
        <v>128</v>
      </c>
      <c r="D23" s="46" t="n">
        <v>1.44</v>
      </c>
      <c r="E23" s="47" t="n">
        <v>0.8645</v>
      </c>
      <c r="F23" s="47" t="n">
        <f aca="false">MAX(0,MIN(1,((E23*D23-1)/(D23-1))*0.5))</f>
        <v>0.278272727272727</v>
      </c>
      <c r="G23" s="48" t="n">
        <f aca="false">$J$22</f>
        <v>766.786275189291</v>
      </c>
      <c r="H23" s="48" t="n">
        <f aca="false">G23*F23</f>
        <v>213.37570803222</v>
      </c>
      <c r="I23" s="48" t="n">
        <f aca="false">H23*(D23-1)</f>
        <v>93.8853115341767</v>
      </c>
      <c r="J23" s="44" t="n">
        <f aca="false">G23+I23</f>
        <v>860.671586723468</v>
      </c>
    </row>
    <row r="24" customFormat="false" ht="15" hidden="false" customHeight="true" outlineLevel="0" collapsed="false">
      <c r="B24" s="49" t="s">
        <v>129</v>
      </c>
      <c r="C24" s="49"/>
      <c r="D24" s="49"/>
      <c r="E24" s="49"/>
      <c r="F24" s="49"/>
      <c r="G24" s="49"/>
      <c r="H24" s="50" t="n">
        <f aca="false">SUM(H8:H23)</f>
        <v>1038.45909315754</v>
      </c>
      <c r="I24" s="50" t="n">
        <f aca="false">SUM(I8:I23)</f>
        <v>760.671586723468</v>
      </c>
      <c r="J24" s="51" t="n">
        <f aca="false">J23</f>
        <v>860.671586723468</v>
      </c>
    </row>
    <row r="26" customFormat="false" ht="30" hidden="false" customHeight="true" outlineLevel="0" collapsed="false">
      <c r="B26" s="26" t="s">
        <v>130</v>
      </c>
      <c r="C26" s="26"/>
      <c r="D26" s="26"/>
      <c r="E26" s="26"/>
      <c r="F26" s="26"/>
      <c r="G26" s="26"/>
      <c r="H26" s="26"/>
      <c r="I26" s="26"/>
      <c r="J26" s="26"/>
    </row>
  </sheetData>
  <mergeCells count="5">
    <mergeCell ref="B2:J2"/>
    <mergeCell ref="B3:J3"/>
    <mergeCell ref="B5:D5"/>
    <mergeCell ref="B24:G24"/>
    <mergeCell ref="B26:J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8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5"/>
    <col collapsed="false" customWidth="true" hidden="false" outlineLevel="0" max="9" min="8" style="0" width="14"/>
    <col collapsed="false" customWidth="true" hidden="false" outlineLevel="0" max="10" min="10" style="0" width="16"/>
  </cols>
  <sheetData>
    <row r="2" customFormat="false" ht="25.5" hidden="false" customHeight="true" outlineLevel="0" collapsed="false">
      <c r="B2" s="40" t="s">
        <v>131</v>
      </c>
      <c r="C2" s="40"/>
      <c r="D2" s="40"/>
      <c r="E2" s="40"/>
      <c r="F2" s="40"/>
      <c r="G2" s="40"/>
      <c r="H2" s="40"/>
      <c r="I2" s="40"/>
      <c r="J2" s="40"/>
    </row>
    <row r="3" customFormat="false" ht="25.5" hidden="false" customHeight="true" outlineLevel="0" collapsed="false">
      <c r="B3" s="3" t="s">
        <v>102</v>
      </c>
      <c r="C3" s="3"/>
      <c r="D3" s="3"/>
      <c r="E3" s="3"/>
      <c r="F3" s="3"/>
      <c r="G3" s="3"/>
      <c r="H3" s="3"/>
      <c r="I3" s="3"/>
      <c r="J3" s="3"/>
    </row>
    <row r="5" customFormat="false" ht="15" hidden="false" customHeight="true" outlineLevel="0" collapsed="false">
      <c r="B5" s="41" t="s">
        <v>103</v>
      </c>
      <c r="C5" s="41"/>
      <c r="D5" s="41"/>
      <c r="E5" s="5" t="n">
        <v>100</v>
      </c>
    </row>
    <row r="7" customFormat="false" ht="27.75" hidden="false" customHeight="true" outlineLevel="0" collapsed="false">
      <c r="B7" s="7" t="s">
        <v>104</v>
      </c>
      <c r="C7" s="7" t="s">
        <v>105</v>
      </c>
      <c r="D7" s="7" t="s">
        <v>106</v>
      </c>
      <c r="E7" s="7" t="s">
        <v>107</v>
      </c>
      <c r="F7" s="7" t="s">
        <v>108</v>
      </c>
      <c r="G7" s="7" t="s">
        <v>109</v>
      </c>
      <c r="H7" s="7" t="s">
        <v>110</v>
      </c>
      <c r="I7" s="7" t="s">
        <v>111</v>
      </c>
      <c r="J7" s="7" t="s">
        <v>112</v>
      </c>
    </row>
    <row r="8" customFormat="false" ht="15" hidden="false" customHeight="false" outlineLevel="0" collapsed="false">
      <c r="B8" s="42" t="n">
        <v>1</v>
      </c>
      <c r="C8" s="42" t="s">
        <v>113</v>
      </c>
      <c r="D8" s="43" t="n">
        <v>1.45</v>
      </c>
      <c r="E8" s="13" t="n">
        <v>0.75</v>
      </c>
      <c r="F8" s="13" t="n">
        <f aca="false">MAX(0,MIN(1,((E8*D8-1)/(D8-1))*0.666666666666667))</f>
        <v>0.129629629629629</v>
      </c>
      <c r="G8" s="14" t="n">
        <f aca="false">$E$5</f>
        <v>100</v>
      </c>
      <c r="H8" s="14" t="n">
        <f aca="false">G8*F8</f>
        <v>12.9629629629629</v>
      </c>
      <c r="I8" s="14" t="n">
        <f aca="false">H8*(D8-1)</f>
        <v>5.83333333333333</v>
      </c>
      <c r="J8" s="52" t="n">
        <f aca="false">G8+I8</f>
        <v>105.833333333333</v>
      </c>
    </row>
    <row r="9" customFormat="false" ht="15" hidden="false" customHeight="false" outlineLevel="0" collapsed="false">
      <c r="B9" s="45" t="n">
        <v>2</v>
      </c>
      <c r="C9" s="45" t="s">
        <v>114</v>
      </c>
      <c r="D9" s="46" t="n">
        <v>2.268</v>
      </c>
      <c r="E9" s="47" t="n">
        <v>0.6786</v>
      </c>
      <c r="F9" s="47" t="n">
        <f aca="false">MAX(0,MIN(1,((E9*D9-1)/(D9-1))*0.666666666666667))</f>
        <v>0.283419978969506</v>
      </c>
      <c r="G9" s="48" t="n">
        <f aca="false">$J$8</f>
        <v>105.833333333333</v>
      </c>
      <c r="H9" s="48" t="n">
        <f aca="false">G9*F9</f>
        <v>29.995281107606</v>
      </c>
      <c r="I9" s="48" t="n">
        <f aca="false">H9*(D9-1)</f>
        <v>38.0340164444444</v>
      </c>
      <c r="J9" s="52" t="n">
        <f aca="false">G9+I9</f>
        <v>143.867349777778</v>
      </c>
    </row>
    <row r="10" customFormat="false" ht="15" hidden="false" customHeight="false" outlineLevel="0" collapsed="false">
      <c r="B10" s="42" t="n">
        <v>3</v>
      </c>
      <c r="C10" s="42" t="s">
        <v>115</v>
      </c>
      <c r="D10" s="43" t="n">
        <v>1.05</v>
      </c>
      <c r="E10" s="13" t="n">
        <v>0.98</v>
      </c>
      <c r="F10" s="13" t="n">
        <f aca="false">MAX(0,MIN(1,((E10*D10-1)/(D10-1))*0.666666666666667))</f>
        <v>0.386666666666665</v>
      </c>
      <c r="G10" s="14" t="n">
        <f aca="false">$J$9</f>
        <v>143.867349777778</v>
      </c>
      <c r="H10" s="14" t="n">
        <f aca="false">G10*F10</f>
        <v>55.6287085807405</v>
      </c>
      <c r="I10" s="14" t="n">
        <f aca="false">H10*(D10-1)</f>
        <v>2.78143542903703</v>
      </c>
      <c r="J10" s="52" t="n">
        <f aca="false">G10+I10</f>
        <v>146.648785206815</v>
      </c>
    </row>
    <row r="11" customFormat="false" ht="15" hidden="false" customHeight="false" outlineLevel="0" collapsed="false">
      <c r="B11" s="45" t="n">
        <v>4</v>
      </c>
      <c r="C11" s="45" t="s">
        <v>116</v>
      </c>
      <c r="D11" s="46" t="n">
        <v>1.65</v>
      </c>
      <c r="E11" s="47" t="n">
        <v>0.653366</v>
      </c>
      <c r="F11" s="47" t="n">
        <f aca="false">MAX(0,MIN(1,((E11*D11-1)/(D11-1))*0.666666666666667))</f>
        <v>0.0800552820512821</v>
      </c>
      <c r="G11" s="48" t="n">
        <f aca="false">$J$10</f>
        <v>146.648785206815</v>
      </c>
      <c r="H11" s="48" t="n">
        <f aca="false">G11*F11</f>
        <v>11.7400098622094</v>
      </c>
      <c r="I11" s="48" t="n">
        <f aca="false">H11*(D11-1)</f>
        <v>7.63100641043613</v>
      </c>
      <c r="J11" s="52" t="n">
        <f aca="false">G11+I11</f>
        <v>154.279791617251</v>
      </c>
    </row>
    <row r="12" customFormat="false" ht="15" hidden="false" customHeight="false" outlineLevel="0" collapsed="false">
      <c r="B12" s="42" t="n">
        <v>5</v>
      </c>
      <c r="C12" s="42" t="s">
        <v>117</v>
      </c>
      <c r="D12" s="43" t="n">
        <v>2.423</v>
      </c>
      <c r="E12" s="13" t="n">
        <v>0.506514</v>
      </c>
      <c r="F12" s="13" t="n">
        <f aca="false">MAX(0,MIN(1,((E12*D12-1)/(D12-1))*0.666666666666667))</f>
        <v>0.106480872335441</v>
      </c>
      <c r="G12" s="14" t="n">
        <f aca="false">$J$11</f>
        <v>154.279791617251</v>
      </c>
      <c r="H12" s="14" t="n">
        <f aca="false">G12*F12</f>
        <v>16.427846795135</v>
      </c>
      <c r="I12" s="14" t="n">
        <f aca="false">H12*(D12-1)</f>
        <v>23.3768259894771</v>
      </c>
      <c r="J12" s="52" t="n">
        <f aca="false">G12+I12</f>
        <v>177.656617606728</v>
      </c>
    </row>
    <row r="13" customFormat="false" ht="15" hidden="false" customHeight="false" outlineLevel="0" collapsed="false">
      <c r="B13" s="45" t="n">
        <v>6</v>
      </c>
      <c r="C13" s="45" t="s">
        <v>118</v>
      </c>
      <c r="D13" s="46" t="n">
        <v>2.345</v>
      </c>
      <c r="E13" s="47" t="n">
        <v>0.6256</v>
      </c>
      <c r="F13" s="47" t="n">
        <f aca="false">MAX(0,MIN(1,((E13*D13-1)/(D13-1))*0.666666666666667))</f>
        <v>0.231490458488228</v>
      </c>
      <c r="G13" s="48" t="n">
        <f aca="false">$J$12</f>
        <v>177.656617606728</v>
      </c>
      <c r="H13" s="48" t="n">
        <f aca="false">G13*F13</f>
        <v>41.1258118632493</v>
      </c>
      <c r="I13" s="48" t="n">
        <f aca="false">H13*(D13-1)</f>
        <v>55.3142169560703</v>
      </c>
      <c r="J13" s="52" t="n">
        <f aca="false">G13+I13</f>
        <v>232.970834562798</v>
      </c>
    </row>
    <row r="14" customFormat="false" ht="15" hidden="false" customHeight="false" outlineLevel="0" collapsed="false">
      <c r="B14" s="42" t="n">
        <v>7</v>
      </c>
      <c r="C14" s="42" t="s">
        <v>119</v>
      </c>
      <c r="D14" s="43" t="n">
        <v>1.27</v>
      </c>
      <c r="E14" s="13" t="n">
        <v>0.88</v>
      </c>
      <c r="F14" s="13" t="n">
        <f aca="false">MAX(0,MIN(1,((E14*D14-1)/(D14-1))*0.666666666666667))</f>
        <v>0.29037037037037</v>
      </c>
      <c r="G14" s="14" t="n">
        <f aca="false">$J$13</f>
        <v>232.970834562798</v>
      </c>
      <c r="H14" s="14" t="n">
        <f aca="false">G14*F14</f>
        <v>67.647827517494</v>
      </c>
      <c r="I14" s="14" t="n">
        <f aca="false">H14*(D14-1)</f>
        <v>18.2649134297234</v>
      </c>
      <c r="J14" s="52" t="n">
        <f aca="false">G14+I14</f>
        <v>251.235747992522</v>
      </c>
    </row>
    <row r="15" customFormat="false" ht="15" hidden="false" customHeight="false" outlineLevel="0" collapsed="false">
      <c r="B15" s="45" t="n">
        <v>8</v>
      </c>
      <c r="C15" s="45" t="s">
        <v>120</v>
      </c>
      <c r="D15" s="46" t="n">
        <v>2.173</v>
      </c>
      <c r="E15" s="47" t="n">
        <v>0.8118</v>
      </c>
      <c r="F15" s="47" t="n">
        <f aca="false">MAX(0,MIN(1,((E15*D15-1)/(D15-1))*0.666666666666667))</f>
        <v>0.434237794828076</v>
      </c>
      <c r="G15" s="48" t="n">
        <f aca="false">$J$14</f>
        <v>251.235747992522</v>
      </c>
      <c r="H15" s="48" t="n">
        <f aca="false">G15*F15</f>
        <v>109.096057190255</v>
      </c>
      <c r="I15" s="48" t="n">
        <f aca="false">H15*(D15-1)</f>
        <v>127.969675084169</v>
      </c>
      <c r="J15" s="52" t="n">
        <f aca="false">G15+I15</f>
        <v>379.205423076691</v>
      </c>
    </row>
    <row r="16" customFormat="false" ht="15" hidden="false" customHeight="false" outlineLevel="0" collapsed="false">
      <c r="B16" s="42" t="n">
        <v>9</v>
      </c>
      <c r="C16" s="42" t="s">
        <v>121</v>
      </c>
      <c r="D16" s="43" t="n">
        <v>1.27</v>
      </c>
      <c r="E16" s="13" t="n">
        <v>0.95</v>
      </c>
      <c r="F16" s="13" t="n">
        <f aca="false">MAX(0,MIN(1,((E16*D16-1)/(D16-1))*0.666666666666667))</f>
        <v>0.509876543209876</v>
      </c>
      <c r="G16" s="14" t="n">
        <f aca="false">$J$15</f>
        <v>379.205423076691</v>
      </c>
      <c r="H16" s="14" t="n">
        <f aca="false">G16*F16</f>
        <v>193.347950284782</v>
      </c>
      <c r="I16" s="14" t="n">
        <f aca="false">H16*(D16-1)</f>
        <v>52.2039465768911</v>
      </c>
      <c r="J16" s="52" t="n">
        <f aca="false">G16+I16</f>
        <v>431.409369653582</v>
      </c>
    </row>
    <row r="17" customFormat="false" ht="15" hidden="false" customHeight="false" outlineLevel="0" collapsed="false">
      <c r="B17" s="45" t="n">
        <v>10</v>
      </c>
      <c r="C17" s="45" t="s">
        <v>122</v>
      </c>
      <c r="D17" s="46" t="n">
        <v>2.906</v>
      </c>
      <c r="E17" s="47" t="n">
        <v>0.42716826</v>
      </c>
      <c r="F17" s="47" t="n">
        <f aca="false">MAX(0,MIN(1,((E17*D17-1)/(D17-1))*0.666666666666667))</f>
        <v>0.0844179655683806</v>
      </c>
      <c r="G17" s="48" t="n">
        <f aca="false">$J$16</f>
        <v>431.409369653582</v>
      </c>
      <c r="H17" s="48" t="n">
        <f aca="false">G17*F17</f>
        <v>36.4187013132928</v>
      </c>
      <c r="I17" s="48" t="n">
        <f aca="false">H17*(D17-1)</f>
        <v>69.4140447031362</v>
      </c>
      <c r="J17" s="52" t="n">
        <f aca="false">G17+I17</f>
        <v>500.823414356718</v>
      </c>
    </row>
    <row r="18" customFormat="false" ht="15" hidden="false" customHeight="false" outlineLevel="0" collapsed="false">
      <c r="B18" s="42" t="n">
        <v>11</v>
      </c>
      <c r="C18" s="42" t="s">
        <v>123</v>
      </c>
      <c r="D18" s="43" t="n">
        <v>1.12</v>
      </c>
      <c r="E18" s="13" t="n">
        <v>0.96</v>
      </c>
      <c r="F18" s="13" t="n">
        <f aca="false">MAX(0,MIN(1,((E18*D18-1)/(D18-1))*0.666666666666667))</f>
        <v>0.417777777777778</v>
      </c>
      <c r="G18" s="14" t="n">
        <f aca="false">$J$17</f>
        <v>500.823414356718</v>
      </c>
      <c r="H18" s="14" t="n">
        <f aca="false">G18*F18</f>
        <v>209.232893109029</v>
      </c>
      <c r="I18" s="14" t="n">
        <f aca="false">H18*(D18-1)</f>
        <v>25.1079471730835</v>
      </c>
      <c r="J18" s="52" t="n">
        <f aca="false">G18+I18</f>
        <v>525.931361529801</v>
      </c>
    </row>
    <row r="19" customFormat="false" ht="15" hidden="false" customHeight="false" outlineLevel="0" collapsed="false">
      <c r="B19" s="45" t="n">
        <v>12</v>
      </c>
      <c r="C19" s="45" t="s">
        <v>124</v>
      </c>
      <c r="D19" s="46" t="n">
        <v>3.822</v>
      </c>
      <c r="E19" s="47" t="n">
        <v>0.49077</v>
      </c>
      <c r="F19" s="47" t="n">
        <f aca="false">MAX(0,MIN(1,((E19*D19-1)/(D19-1))*0.666666666666667))</f>
        <v>0.206879976376092</v>
      </c>
      <c r="G19" s="48" t="n">
        <f aca="false">$J$18</f>
        <v>525.931361529801</v>
      </c>
      <c r="H19" s="48" t="n">
        <f aca="false">G19*F19</f>
        <v>108.804667648731</v>
      </c>
      <c r="I19" s="48" t="n">
        <f aca="false">H19*(D19-1)</f>
        <v>307.04677210472</v>
      </c>
      <c r="J19" s="52" t="n">
        <f aca="false">G19+I19</f>
        <v>832.978133634522</v>
      </c>
    </row>
    <row r="20" customFormat="false" ht="15" hidden="false" customHeight="false" outlineLevel="0" collapsed="false">
      <c r="B20" s="42" t="n">
        <v>13</v>
      </c>
      <c r="C20" s="42" t="s">
        <v>125</v>
      </c>
      <c r="D20" s="43" t="n">
        <v>2.24</v>
      </c>
      <c r="E20" s="13" t="n">
        <v>0.68448</v>
      </c>
      <c r="F20" s="13" t="n">
        <f aca="false">MAX(0,MIN(1,((E20*D20-1)/(D20-1))*0.666666666666667))</f>
        <v>0.28668559139785</v>
      </c>
      <c r="G20" s="14" t="n">
        <f aca="false">$J$19</f>
        <v>832.978133634522</v>
      </c>
      <c r="H20" s="14" t="n">
        <f aca="false">G20*F20</f>
        <v>238.80282886249</v>
      </c>
      <c r="I20" s="14" t="n">
        <f aca="false">H20*(D20-1)</f>
        <v>296.115507789487</v>
      </c>
      <c r="J20" s="52" t="n">
        <f aca="false">G20+I20</f>
        <v>1129.09364142401</v>
      </c>
    </row>
    <row r="21" customFormat="false" ht="15" hidden="false" customHeight="false" outlineLevel="0" collapsed="false">
      <c r="B21" s="45" t="n">
        <v>14</v>
      </c>
      <c r="C21" s="45" t="s">
        <v>126</v>
      </c>
      <c r="D21" s="46" t="n">
        <v>1.34</v>
      </c>
      <c r="E21" s="47" t="n">
        <v>0.84</v>
      </c>
      <c r="F21" s="47" t="n">
        <f aca="false">MAX(0,MIN(1,((E21*D21-1)/(D21-1))*0.666666666666667))</f>
        <v>0.246274509803921</v>
      </c>
      <c r="G21" s="48" t="n">
        <f aca="false">$J$20</f>
        <v>1129.09364142401</v>
      </c>
      <c r="H21" s="48" t="n">
        <f aca="false">G21*F21</f>
        <v>278.066983064422</v>
      </c>
      <c r="I21" s="48" t="n">
        <f aca="false">H21*(D21-1)</f>
        <v>94.5427742419036</v>
      </c>
      <c r="J21" s="52" t="n">
        <f aca="false">G21+I21</f>
        <v>1223.63641566591</v>
      </c>
    </row>
    <row r="22" customFormat="false" ht="15" hidden="false" customHeight="false" outlineLevel="0" collapsed="false">
      <c r="B22" s="42" t="n">
        <v>15</v>
      </c>
      <c r="C22" s="42" t="s">
        <v>127</v>
      </c>
      <c r="D22" s="43" t="n">
        <v>1.911</v>
      </c>
      <c r="E22" s="13" t="n">
        <v>0.6278</v>
      </c>
      <c r="F22" s="13" t="n">
        <f aca="false">MAX(0,MIN(1,((E22*D22-1)/(D22-1))*0.666666666666667))</f>
        <v>0.146158653494329</v>
      </c>
      <c r="G22" s="14" t="n">
        <f aca="false">$J$21</f>
        <v>1223.63641566591</v>
      </c>
      <c r="H22" s="14" t="n">
        <f aca="false">G22*F22</f>
        <v>178.845050880356</v>
      </c>
      <c r="I22" s="14" t="n">
        <f aca="false">H22*(D22-1)</f>
        <v>162.927841352005</v>
      </c>
      <c r="J22" s="52" t="n">
        <f aca="false">G22+I22</f>
        <v>1386.56425701792</v>
      </c>
    </row>
    <row r="23" customFormat="false" ht="15" hidden="false" customHeight="false" outlineLevel="0" collapsed="false">
      <c r="B23" s="45" t="n">
        <v>16</v>
      </c>
      <c r="C23" s="45" t="s">
        <v>128</v>
      </c>
      <c r="D23" s="46" t="n">
        <v>1.44</v>
      </c>
      <c r="E23" s="47" t="n">
        <v>0.8645</v>
      </c>
      <c r="F23" s="47" t="n">
        <f aca="false">MAX(0,MIN(1,((E23*D23-1)/(D23-1))*0.666666666666667))</f>
        <v>0.371030303030303</v>
      </c>
      <c r="G23" s="48" t="n">
        <f aca="false">$J$22</f>
        <v>1386.56425701792</v>
      </c>
      <c r="H23" s="48" t="n">
        <f aca="false">G23*F23</f>
        <v>514.457356452344</v>
      </c>
      <c r="I23" s="48" t="n">
        <f aca="false">H23*(D23-1)</f>
        <v>226.361236839031</v>
      </c>
      <c r="J23" s="52" t="n">
        <f aca="false">G23+I23</f>
        <v>1612.92549385695</v>
      </c>
    </row>
    <row r="24" customFormat="false" ht="15" hidden="false" customHeight="true" outlineLevel="0" collapsed="false">
      <c r="B24" s="49" t="s">
        <v>129</v>
      </c>
      <c r="C24" s="49"/>
      <c r="D24" s="49"/>
      <c r="E24" s="49"/>
      <c r="F24" s="49"/>
      <c r="G24" s="49"/>
      <c r="H24" s="50" t="n">
        <f aca="false">SUM(H8:H23)</f>
        <v>2102.6009374951</v>
      </c>
      <c r="I24" s="50" t="n">
        <f aca="false">SUM(I8:I23)</f>
        <v>1512.92549385695</v>
      </c>
      <c r="J24" s="51" t="n">
        <f aca="false">J23</f>
        <v>1612.92549385695</v>
      </c>
    </row>
    <row r="26" customFormat="false" ht="30" hidden="false" customHeight="true" outlineLevel="0" collapsed="false">
      <c r="B26" s="26" t="s">
        <v>130</v>
      </c>
      <c r="C26" s="26"/>
      <c r="D26" s="26"/>
      <c r="E26" s="26"/>
      <c r="F26" s="26"/>
      <c r="G26" s="26"/>
      <c r="H26" s="26"/>
      <c r="I26" s="26"/>
      <c r="J26" s="26"/>
    </row>
  </sheetData>
  <mergeCells count="5">
    <mergeCell ref="B2:J2"/>
    <mergeCell ref="B3:J3"/>
    <mergeCell ref="B5:D5"/>
    <mergeCell ref="B24:G24"/>
    <mergeCell ref="B26:J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8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5"/>
    <col collapsed="false" customWidth="true" hidden="false" outlineLevel="0" max="9" min="8" style="0" width="14"/>
    <col collapsed="false" customWidth="true" hidden="false" outlineLevel="0" max="10" min="10" style="0" width="16"/>
  </cols>
  <sheetData>
    <row r="2" customFormat="false" ht="25.5" hidden="false" customHeight="true" outlineLevel="0" collapsed="false">
      <c r="B2" s="40" t="s">
        <v>132</v>
      </c>
      <c r="C2" s="40"/>
      <c r="D2" s="40"/>
      <c r="E2" s="40"/>
      <c r="F2" s="40"/>
      <c r="G2" s="40"/>
      <c r="H2" s="40"/>
      <c r="I2" s="40"/>
      <c r="J2" s="40"/>
    </row>
    <row r="3" customFormat="false" ht="25.5" hidden="false" customHeight="true" outlineLevel="0" collapsed="false">
      <c r="B3" s="3" t="s">
        <v>102</v>
      </c>
      <c r="C3" s="3"/>
      <c r="D3" s="3"/>
      <c r="E3" s="3"/>
      <c r="F3" s="3"/>
      <c r="G3" s="3"/>
      <c r="H3" s="3"/>
      <c r="I3" s="3"/>
      <c r="J3" s="3"/>
    </row>
    <row r="5" customFormat="false" ht="15" hidden="false" customHeight="true" outlineLevel="0" collapsed="false">
      <c r="B5" s="41" t="s">
        <v>103</v>
      </c>
      <c r="C5" s="41"/>
      <c r="D5" s="41"/>
      <c r="E5" s="5" t="n">
        <v>100</v>
      </c>
    </row>
    <row r="7" customFormat="false" ht="27.75" hidden="false" customHeight="true" outlineLevel="0" collapsed="false">
      <c r="B7" s="7" t="s">
        <v>104</v>
      </c>
      <c r="C7" s="7" t="s">
        <v>105</v>
      </c>
      <c r="D7" s="7" t="s">
        <v>106</v>
      </c>
      <c r="E7" s="7" t="s">
        <v>107</v>
      </c>
      <c r="F7" s="7" t="s">
        <v>108</v>
      </c>
      <c r="G7" s="7" t="s">
        <v>109</v>
      </c>
      <c r="H7" s="7" t="s">
        <v>110</v>
      </c>
      <c r="I7" s="7" t="s">
        <v>111</v>
      </c>
      <c r="J7" s="7" t="s">
        <v>112</v>
      </c>
    </row>
    <row r="8" customFormat="false" ht="15" hidden="false" customHeight="false" outlineLevel="0" collapsed="false">
      <c r="B8" s="42" t="n">
        <v>1</v>
      </c>
      <c r="C8" s="42" t="s">
        <v>113</v>
      </c>
      <c r="D8" s="43" t="n">
        <v>1.45</v>
      </c>
      <c r="E8" s="13" t="n">
        <v>0.75</v>
      </c>
      <c r="F8" s="13" t="n">
        <f aca="false">MAX(0,MIN(1,((E8*D8-1)/(D8-1))*1))</f>
        <v>0.194444444444444</v>
      </c>
      <c r="G8" s="14" t="n">
        <f aca="false">$E$5</f>
        <v>100</v>
      </c>
      <c r="H8" s="14" t="n">
        <f aca="false">G8*F8</f>
        <v>19.4444444444444</v>
      </c>
      <c r="I8" s="14" t="n">
        <f aca="false">H8*(D8-1)</f>
        <v>8.74999999999999</v>
      </c>
      <c r="J8" s="53" t="n">
        <f aca="false">G8+I8</f>
        <v>108.75</v>
      </c>
    </row>
    <row r="9" customFormat="false" ht="15" hidden="false" customHeight="false" outlineLevel="0" collapsed="false">
      <c r="B9" s="45" t="n">
        <v>2</v>
      </c>
      <c r="C9" s="45" t="s">
        <v>114</v>
      </c>
      <c r="D9" s="46" t="n">
        <v>2.268</v>
      </c>
      <c r="E9" s="47" t="n">
        <v>0.6786</v>
      </c>
      <c r="F9" s="47" t="n">
        <f aca="false">MAX(0,MIN(1,((E9*D9-1)/(D9-1))*1))</f>
        <v>0.425129968454259</v>
      </c>
      <c r="G9" s="48" t="n">
        <f aca="false">$J$8</f>
        <v>108.75</v>
      </c>
      <c r="H9" s="48" t="n">
        <f aca="false">G9*F9</f>
        <v>46.2328840694006</v>
      </c>
      <c r="I9" s="48" t="n">
        <f aca="false">H9*(D9-1)</f>
        <v>58.623297</v>
      </c>
      <c r="J9" s="53" t="n">
        <f aca="false">G9+I9</f>
        <v>167.373297</v>
      </c>
    </row>
    <row r="10" customFormat="false" ht="15" hidden="false" customHeight="false" outlineLevel="0" collapsed="false">
      <c r="B10" s="42" t="n">
        <v>3</v>
      </c>
      <c r="C10" s="42" t="s">
        <v>115</v>
      </c>
      <c r="D10" s="43" t="n">
        <v>1.05</v>
      </c>
      <c r="E10" s="13" t="n">
        <v>0.98</v>
      </c>
      <c r="F10" s="13" t="n">
        <f aca="false">MAX(0,MIN(1,((E10*D10-1)/(D10-1))*1))</f>
        <v>0.579999999999998</v>
      </c>
      <c r="G10" s="14" t="n">
        <f aca="false">$J$9</f>
        <v>167.373297</v>
      </c>
      <c r="H10" s="14" t="n">
        <f aca="false">G10*F10</f>
        <v>97.0765122599996</v>
      </c>
      <c r="I10" s="14" t="n">
        <f aca="false">H10*(D10-1)</f>
        <v>4.85382561299998</v>
      </c>
      <c r="J10" s="53" t="n">
        <f aca="false">G10+I10</f>
        <v>172.227122613</v>
      </c>
    </row>
    <row r="11" customFormat="false" ht="15" hidden="false" customHeight="false" outlineLevel="0" collapsed="false">
      <c r="B11" s="45" t="n">
        <v>4</v>
      </c>
      <c r="C11" s="45" t="s">
        <v>116</v>
      </c>
      <c r="D11" s="46" t="n">
        <v>1.65</v>
      </c>
      <c r="E11" s="47" t="n">
        <v>0.653366</v>
      </c>
      <c r="F11" s="47" t="n">
        <f aca="false">MAX(0,MIN(1,((E11*D11-1)/(D11-1))*1))</f>
        <v>0.120082923076923</v>
      </c>
      <c r="G11" s="48" t="n">
        <f aca="false">$J$10</f>
        <v>172.227122613</v>
      </c>
      <c r="H11" s="48" t="n">
        <f aca="false">G11*F11</f>
        <v>20.6815363164967</v>
      </c>
      <c r="I11" s="48" t="n">
        <f aca="false">H11*(D11-1)</f>
        <v>13.4429986057228</v>
      </c>
      <c r="J11" s="53" t="n">
        <f aca="false">G11+I11</f>
        <v>185.670121218723</v>
      </c>
    </row>
    <row r="12" customFormat="false" ht="15" hidden="false" customHeight="false" outlineLevel="0" collapsed="false">
      <c r="B12" s="42" t="n">
        <v>5</v>
      </c>
      <c r="C12" s="42" t="s">
        <v>117</v>
      </c>
      <c r="D12" s="43" t="n">
        <v>2.423</v>
      </c>
      <c r="E12" s="13" t="n">
        <v>0.506514</v>
      </c>
      <c r="F12" s="13" t="n">
        <f aca="false">MAX(0,MIN(1,((E12*D12-1)/(D12-1))*1))</f>
        <v>0.159721308503162</v>
      </c>
      <c r="G12" s="14" t="n">
        <f aca="false">$J$11</f>
        <v>185.670121218723</v>
      </c>
      <c r="H12" s="14" t="n">
        <f aca="false">G12*F12</f>
        <v>29.6554747109951</v>
      </c>
      <c r="I12" s="14" t="n">
        <f aca="false">H12*(D12-1)</f>
        <v>42.1997405137461</v>
      </c>
      <c r="J12" s="53" t="n">
        <f aca="false">G12+I12</f>
        <v>227.869861732469</v>
      </c>
    </row>
    <row r="13" customFormat="false" ht="15" hidden="false" customHeight="false" outlineLevel="0" collapsed="false">
      <c r="B13" s="45" t="n">
        <v>6</v>
      </c>
      <c r="C13" s="45" t="s">
        <v>118</v>
      </c>
      <c r="D13" s="46" t="n">
        <v>2.345</v>
      </c>
      <c r="E13" s="47" t="n">
        <v>0.6256</v>
      </c>
      <c r="F13" s="47" t="n">
        <f aca="false">MAX(0,MIN(1,((E13*D13-1)/(D13-1))*1))</f>
        <v>0.347235687732342</v>
      </c>
      <c r="G13" s="48" t="n">
        <f aca="false">$J$12</f>
        <v>227.869861732469</v>
      </c>
      <c r="H13" s="48" t="n">
        <f aca="false">G13*F13</f>
        <v>79.1245481521476</v>
      </c>
      <c r="I13" s="48" t="n">
        <f aca="false">H13*(D13-1)</f>
        <v>106.422517264638</v>
      </c>
      <c r="J13" s="53" t="n">
        <f aca="false">G13+I13</f>
        <v>334.292378997107</v>
      </c>
    </row>
    <row r="14" customFormat="false" ht="15" hidden="false" customHeight="false" outlineLevel="0" collapsed="false">
      <c r="B14" s="42" t="n">
        <v>7</v>
      </c>
      <c r="C14" s="42" t="s">
        <v>119</v>
      </c>
      <c r="D14" s="43" t="n">
        <v>1.27</v>
      </c>
      <c r="E14" s="13" t="n">
        <v>0.88</v>
      </c>
      <c r="F14" s="13" t="n">
        <f aca="false">MAX(0,MIN(1,((E14*D14-1)/(D14-1))*1))</f>
        <v>0.435555555555555</v>
      </c>
      <c r="G14" s="14" t="n">
        <f aca="false">$J$13</f>
        <v>334.292378997107</v>
      </c>
      <c r="H14" s="14" t="n">
        <f aca="false">G14*F14</f>
        <v>145.602902852073</v>
      </c>
      <c r="I14" s="14" t="n">
        <f aca="false">H14*(D14-1)</f>
        <v>39.3127837700598</v>
      </c>
      <c r="J14" s="53" t="n">
        <f aca="false">G14+I14</f>
        <v>373.605162767167</v>
      </c>
    </row>
    <row r="15" customFormat="false" ht="15" hidden="false" customHeight="false" outlineLevel="0" collapsed="false">
      <c r="B15" s="45" t="n">
        <v>8</v>
      </c>
      <c r="C15" s="45" t="s">
        <v>120</v>
      </c>
      <c r="D15" s="46" t="n">
        <v>2.173</v>
      </c>
      <c r="E15" s="47" t="n">
        <v>0.8118</v>
      </c>
      <c r="F15" s="47" t="n">
        <f aca="false">MAX(0,MIN(1,((E15*D15-1)/(D15-1))*1))</f>
        <v>0.651356692242114</v>
      </c>
      <c r="G15" s="48" t="n">
        <f aca="false">$J$14</f>
        <v>373.605162767167</v>
      </c>
      <c r="H15" s="48" t="n">
        <f aca="false">G15*F15</f>
        <v>243.350223024599</v>
      </c>
      <c r="I15" s="48" t="n">
        <f aca="false">H15*(D15-1)</f>
        <v>285.449811607854</v>
      </c>
      <c r="J15" s="53" t="n">
        <f aca="false">G15+I15</f>
        <v>659.054974375021</v>
      </c>
    </row>
    <row r="16" customFormat="false" ht="15" hidden="false" customHeight="false" outlineLevel="0" collapsed="false">
      <c r="B16" s="42" t="n">
        <v>9</v>
      </c>
      <c r="C16" s="42" t="s">
        <v>121</v>
      </c>
      <c r="D16" s="43" t="n">
        <v>1.27</v>
      </c>
      <c r="E16" s="13" t="n">
        <v>0.95</v>
      </c>
      <c r="F16" s="13" t="n">
        <f aca="false">MAX(0,MIN(1,((E16*D16-1)/(D16-1))*1))</f>
        <v>0.764814814814814</v>
      </c>
      <c r="G16" s="14" t="n">
        <f aca="false">$J$15</f>
        <v>659.054974375021</v>
      </c>
      <c r="H16" s="14" t="n">
        <f aca="false">G16*F16</f>
        <v>504.055008179414</v>
      </c>
      <c r="I16" s="14" t="n">
        <f aca="false">H16*(D16-1)</f>
        <v>136.094852208442</v>
      </c>
      <c r="J16" s="53" t="n">
        <f aca="false">G16+I16</f>
        <v>795.149826583463</v>
      </c>
    </row>
    <row r="17" customFormat="false" ht="15" hidden="false" customHeight="false" outlineLevel="0" collapsed="false">
      <c r="B17" s="45" t="n">
        <v>10</v>
      </c>
      <c r="C17" s="45" t="s">
        <v>122</v>
      </c>
      <c r="D17" s="46" t="n">
        <v>2.906</v>
      </c>
      <c r="E17" s="47" t="n">
        <v>0.42716826</v>
      </c>
      <c r="F17" s="47" t="n">
        <f aca="false">MAX(0,MIN(1,((E17*D17-1)/(D17-1))*1))</f>
        <v>0.126626948352571</v>
      </c>
      <c r="G17" s="48" t="n">
        <f aca="false">$J$16</f>
        <v>795.149826583463</v>
      </c>
      <c r="H17" s="48" t="n">
        <f aca="false">G17*F17</f>
        <v>100.68739602334</v>
      </c>
      <c r="I17" s="48" t="n">
        <f aca="false">H17*(D17-1)</f>
        <v>191.910176820486</v>
      </c>
      <c r="J17" s="53" t="n">
        <f aca="false">G17+I17</f>
        <v>987.060003403949</v>
      </c>
    </row>
    <row r="18" customFormat="false" ht="15" hidden="false" customHeight="false" outlineLevel="0" collapsed="false">
      <c r="B18" s="42" t="n">
        <v>11</v>
      </c>
      <c r="C18" s="42" t="s">
        <v>123</v>
      </c>
      <c r="D18" s="43" t="n">
        <v>1.12</v>
      </c>
      <c r="E18" s="13" t="n">
        <v>0.96</v>
      </c>
      <c r="F18" s="13" t="n">
        <f aca="false">MAX(0,MIN(1,((E18*D18-1)/(D18-1))*1))</f>
        <v>0.626666666666667</v>
      </c>
      <c r="G18" s="14" t="n">
        <f aca="false">$J$17</f>
        <v>987.060003403949</v>
      </c>
      <c r="H18" s="14" t="n">
        <f aca="false">G18*F18</f>
        <v>618.557602133142</v>
      </c>
      <c r="I18" s="14" t="n">
        <f aca="false">H18*(D18-1)</f>
        <v>74.2269122559771</v>
      </c>
      <c r="J18" s="53" t="n">
        <f aca="false">G18+I18</f>
        <v>1061.28691565993</v>
      </c>
    </row>
    <row r="19" customFormat="false" ht="15" hidden="false" customHeight="false" outlineLevel="0" collapsed="false">
      <c r="B19" s="45" t="n">
        <v>12</v>
      </c>
      <c r="C19" s="45" t="s">
        <v>124</v>
      </c>
      <c r="D19" s="46" t="n">
        <v>3.822</v>
      </c>
      <c r="E19" s="47" t="n">
        <v>0.49077</v>
      </c>
      <c r="F19" s="47" t="n">
        <f aca="false">MAX(0,MIN(1,((E19*D19-1)/(D19-1))*1))</f>
        <v>0.310319964564139</v>
      </c>
      <c r="G19" s="48" t="n">
        <f aca="false">$J$18</f>
        <v>1061.28691565993</v>
      </c>
      <c r="H19" s="48" t="n">
        <f aca="false">G19*F19</f>
        <v>329.338518059972</v>
      </c>
      <c r="I19" s="48" t="n">
        <f aca="false">H19*(D19-1)</f>
        <v>929.393297965242</v>
      </c>
      <c r="J19" s="53" t="n">
        <f aca="false">G19+I19</f>
        <v>1990.68021362517</v>
      </c>
    </row>
    <row r="20" customFormat="false" ht="15" hidden="false" customHeight="false" outlineLevel="0" collapsed="false">
      <c r="B20" s="42" t="n">
        <v>13</v>
      </c>
      <c r="C20" s="42" t="s">
        <v>125</v>
      </c>
      <c r="D20" s="43" t="n">
        <v>2.24</v>
      </c>
      <c r="E20" s="13" t="n">
        <v>0.68448</v>
      </c>
      <c r="F20" s="13" t="n">
        <f aca="false">MAX(0,MIN(1,((E20*D20-1)/(D20-1))*1))</f>
        <v>0.430028387096774</v>
      </c>
      <c r="G20" s="14" t="n">
        <f aca="false">$J$19</f>
        <v>1990.68021362517</v>
      </c>
      <c r="H20" s="14" t="n">
        <f aca="false">G20*F20</f>
        <v>856.049001490693</v>
      </c>
      <c r="I20" s="14" t="n">
        <f aca="false">H20*(D20-1)</f>
        <v>1061.50076184846</v>
      </c>
      <c r="J20" s="53" t="n">
        <f aca="false">G20+I20</f>
        <v>3052.18097547363</v>
      </c>
    </row>
    <row r="21" customFormat="false" ht="15" hidden="false" customHeight="false" outlineLevel="0" collapsed="false">
      <c r="B21" s="45" t="n">
        <v>14</v>
      </c>
      <c r="C21" s="45" t="s">
        <v>126</v>
      </c>
      <c r="D21" s="46" t="n">
        <v>1.34</v>
      </c>
      <c r="E21" s="47" t="n">
        <v>0.84</v>
      </c>
      <c r="F21" s="47" t="n">
        <f aca="false">MAX(0,MIN(1,((E21*D21-1)/(D21-1))*1))</f>
        <v>0.369411764705882</v>
      </c>
      <c r="G21" s="48" t="n">
        <f aca="false">$J$20</f>
        <v>3052.18097547363</v>
      </c>
      <c r="H21" s="48" t="n">
        <f aca="false">G21*F21</f>
        <v>1127.51156035143</v>
      </c>
      <c r="I21" s="48" t="n">
        <f aca="false">H21*(D21-1)</f>
        <v>383.353930519488</v>
      </c>
      <c r="J21" s="53" t="n">
        <f aca="false">G21+I21</f>
        <v>3435.53490599312</v>
      </c>
    </row>
    <row r="22" customFormat="false" ht="15" hidden="false" customHeight="false" outlineLevel="0" collapsed="false">
      <c r="B22" s="42" t="n">
        <v>15</v>
      </c>
      <c r="C22" s="42" t="s">
        <v>127</v>
      </c>
      <c r="D22" s="43" t="n">
        <v>1.911</v>
      </c>
      <c r="E22" s="13" t="n">
        <v>0.6278</v>
      </c>
      <c r="F22" s="13" t="n">
        <f aca="false">MAX(0,MIN(1,((E22*D22-1)/(D22-1))*1))</f>
        <v>0.219237980241493</v>
      </c>
      <c r="G22" s="14" t="n">
        <f aca="false">$J$21</f>
        <v>3435.53490599312</v>
      </c>
      <c r="H22" s="14" t="n">
        <f aca="false">G22*F22</f>
        <v>753.199733839079</v>
      </c>
      <c r="I22" s="14" t="n">
        <f aca="false">H22*(D22-1)</f>
        <v>686.164957527401</v>
      </c>
      <c r="J22" s="53" t="n">
        <f aca="false">G22+I22</f>
        <v>4121.69986352052</v>
      </c>
    </row>
    <row r="23" customFormat="false" ht="15" hidden="false" customHeight="false" outlineLevel="0" collapsed="false">
      <c r="B23" s="45" t="n">
        <v>16</v>
      </c>
      <c r="C23" s="45" t="s">
        <v>128</v>
      </c>
      <c r="D23" s="46" t="n">
        <v>1.44</v>
      </c>
      <c r="E23" s="47" t="n">
        <v>0.8645</v>
      </c>
      <c r="F23" s="47" t="n">
        <f aca="false">MAX(0,MIN(1,((E23*D23-1)/(D23-1))*1))</f>
        <v>0.556545454545454</v>
      </c>
      <c r="G23" s="48" t="n">
        <f aca="false">$J$22</f>
        <v>4121.69986352052</v>
      </c>
      <c r="H23" s="48" t="n">
        <f aca="false">G23*F23</f>
        <v>2293.91332404296</v>
      </c>
      <c r="I23" s="48" t="n">
        <f aca="false">H23*(D23-1)</f>
        <v>1009.3218625789</v>
      </c>
      <c r="J23" s="53" t="n">
        <f aca="false">G23+I23</f>
        <v>5131.02172609942</v>
      </c>
    </row>
    <row r="24" customFormat="false" ht="15" hidden="false" customHeight="true" outlineLevel="0" collapsed="false">
      <c r="B24" s="49" t="s">
        <v>129</v>
      </c>
      <c r="C24" s="49"/>
      <c r="D24" s="49"/>
      <c r="E24" s="49"/>
      <c r="F24" s="49"/>
      <c r="G24" s="49"/>
      <c r="H24" s="50" t="n">
        <f aca="false">SUM(H8:H23)</f>
        <v>7264.48066995019</v>
      </c>
      <c r="I24" s="50" t="n">
        <f aca="false">SUM(I8:I23)</f>
        <v>5031.02172609942</v>
      </c>
      <c r="J24" s="51" t="n">
        <f aca="false">J23</f>
        <v>5131.02172609942</v>
      </c>
    </row>
    <row r="26" customFormat="false" ht="30" hidden="false" customHeight="true" outlineLevel="0" collapsed="false">
      <c r="B26" s="26" t="s">
        <v>130</v>
      </c>
      <c r="C26" s="26"/>
      <c r="D26" s="26"/>
      <c r="E26" s="26"/>
      <c r="F26" s="26"/>
      <c r="G26" s="26"/>
      <c r="H26" s="26"/>
      <c r="I26" s="26"/>
      <c r="J26" s="26"/>
    </row>
  </sheetData>
  <mergeCells count="5">
    <mergeCell ref="B2:J2"/>
    <mergeCell ref="B3:J3"/>
    <mergeCell ref="B5:D5"/>
    <mergeCell ref="B24:G24"/>
    <mergeCell ref="B26:J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2026-06-05T04:27:21Z</dcterms:created>
  <dc:creator>openpyxl</dc:creator>
  <dc:description/>
  <dc:language>en-US</dc:language>
  <cp:lastModifiedBy/>
  <dcterms:modified xsi:type="dcterms:W3CDTF">2026-06-05T04:31:52Z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