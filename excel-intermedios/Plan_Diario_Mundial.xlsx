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lan diario" sheetId="2" state="visible" r:id="rId4"/>
    <sheet name="Cashout y Hed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<sst xmlns="http://schemas.openxmlformats.org/spreadsheetml/2006/main" count="315" uniqueCount="104">
  <si>
    <t xml:space="preserve">Plan día a día — Mundial 2026 (banca rodante + Kelly fraccionado)</t>
  </si>
  <si>
    <t xml:space="preserve">Banca S/500 · ⅔ Kelly (tope 6%/apuesta) · bankear 40% de ganancias · formato mixto</t>
  </si>
  <si>
    <t xml:space="preserve">QUÉ ESPERAR (simulación 40k)</t>
  </si>
  <si>
    <t xml:space="preserve">Escenario</t>
  </si>
  <si>
    <t xml:space="preserve">Banca final (mediana)</t>
  </si>
  <si>
    <t xml:space="preserve">P(terminar en verde)</t>
  </si>
  <si>
    <t xml:space="preserve">Rango P10–P90</t>
  </si>
  <si>
    <t xml:space="preserve">Riesgo de ruina</t>
  </si>
  <si>
    <t xml:space="preserve">Si tus probabilidades aciertan</t>
  </si>
  <si>
    <t xml:space="preserve">S/ 676 (+35%)</t>
  </si>
  <si>
    <t xml:space="preserve">92%</t>
  </si>
  <si>
    <t xml:space="preserve">S/ 514 – 859</t>
  </si>
  <si>
    <t xml:space="preserve">~0%</t>
  </si>
  <si>
    <t xml:space="preserve">Si el mercado tiene razón</t>
  </si>
  <si>
    <t xml:space="preserve">S/ 488 (≈ plano)</t>
  </si>
  <si>
    <t xml:space="preserve">46%</t>
  </si>
  <si>
    <t xml:space="preserve">S/ 355 – 662</t>
  </si>
  <si>
    <t xml:space="preserve">CÓMO USAR EL PLAN:</t>
  </si>
  <si>
    <t xml:space="preserve">1) La hoja 'Plan diario' es tu tracker. La banca inicial (amarillo) arriba ya está en S/500.</t>
  </si>
  <si>
    <t xml:space="preserve">2) Cada día están los partidos con VALOR y su stake en % de banca. El S/ a apostar se calcula solo según tu banca de ese día.</t>
  </si>
  <si>
    <t xml:space="preserve">3) Cuando termine cada partido, escribe 1 si ganó (o 0 si no) en la columna amarilla '¿Ganó?'. La banca se actualiza sola y rueda al día siguiente.</t>
  </si>
  <si>
    <t xml:space="preserve">4) 'Combo del día' es opcional (mezcla los partidos del día, stake chico) — el bono mixto.</t>
  </si>
  <si>
    <t xml:space="preserve">5) Para cashout/hedge en vivo, usa la hoja 'Cashout y Hedge'.</t>
  </si>
  <si>
    <t xml:space="preserve">REGLA DE ORO: solo apostamos partidos con edge&gt;0. Los 8 sin valor quedaron fuera del plan.</t>
  </si>
  <si>
    <t xml:space="preserve">PLAN DIARIO — escribe 1/0 en '¿Ganó?' y todo se actualiza</t>
  </si>
  <si>
    <t xml:space="preserve">Banca inicial:</t>
  </si>
  <si>
    <t xml:space="preserve">DÍA 11/06</t>
  </si>
  <si>
    <t xml:space="preserve">Banca inicio →</t>
  </si>
  <si>
    <t xml:space="preserve">#</t>
  </si>
  <si>
    <t xml:space="preserve">Pick / Apuesta</t>
  </si>
  <si>
    <t xml:space="preserve">Cuota</t>
  </si>
  <si>
    <t xml:space="preserve">Mi P</t>
  </si>
  <si>
    <t xml:space="preserve">Edge</t>
  </si>
  <si>
    <t xml:space="preserve">Stake %</t>
  </si>
  <si>
    <t xml:space="preserve">S/ Apostado</t>
  </si>
  <si>
    <t xml:space="preserve">¿Ganó? (1/0)</t>
  </si>
  <si>
    <t xml:space="preserve">Retorno</t>
  </si>
  <si>
    <t xml:space="preserve">México gana</t>
  </si>
  <si>
    <t xml:space="preserve">Apostado / Retorno / Neto del día</t>
  </si>
  <si>
    <t xml:space="preserve">A bóveda (40% si ganó) / Banca cierre</t>
  </si>
  <si>
    <t xml:space="preserve">Banca cierre →</t>
  </si>
  <si>
    <t xml:space="preserve">DÍA 13/06</t>
  </si>
  <si>
    <t xml:space="preserve">Suiza gana</t>
  </si>
  <si>
    <t xml:space="preserve">Turquía gana</t>
  </si>
  <si>
    <t xml:space="preserve">C</t>
  </si>
  <si>
    <t xml:space="preserve">Combo del día (#2+#4)</t>
  </si>
  <si>
    <t xml:space="preserve">DÍA 14/06</t>
  </si>
  <si>
    <t xml:space="preserve">Alemania gana</t>
  </si>
  <si>
    <t xml:space="preserve">DÍA 15/06</t>
  </si>
  <si>
    <t xml:space="preserve">España gana</t>
  </si>
  <si>
    <t xml:space="preserve">DÍA 16/06</t>
  </si>
  <si>
    <t xml:space="preserve">Francia gana</t>
  </si>
  <si>
    <t xml:space="preserve">Noruega gana</t>
  </si>
  <si>
    <t xml:space="preserve">Austria gana</t>
  </si>
  <si>
    <t xml:space="preserve">Combo del día (#9+#10+#12)</t>
  </si>
  <si>
    <t xml:space="preserve">DÍA 17/06</t>
  </si>
  <si>
    <t xml:space="preserve">Portugal gana</t>
  </si>
  <si>
    <t xml:space="preserve">Ghana 1X</t>
  </si>
  <si>
    <t xml:space="preserve">Colombia gana</t>
  </si>
  <si>
    <t xml:space="preserve">Combo del día (#13+#14+#15)</t>
  </si>
  <si>
    <t xml:space="preserve">DÍA 18/06</t>
  </si>
  <si>
    <t xml:space="preserve">Rep.Checa 1X</t>
  </si>
  <si>
    <t xml:space="preserve">DÍA 19/06</t>
  </si>
  <si>
    <t xml:space="preserve">Marruecos gana</t>
  </si>
  <si>
    <t xml:space="preserve">Brasil gana</t>
  </si>
  <si>
    <t xml:space="preserve">Combo del día (#19+#20)</t>
  </si>
  <si>
    <t xml:space="preserve">DÍA 20/06</t>
  </si>
  <si>
    <t xml:space="preserve">Ecuador gana</t>
  </si>
  <si>
    <t xml:space="preserve">DÍA 21/06</t>
  </si>
  <si>
    <t xml:space="preserve">Bélgica gana</t>
  </si>
  <si>
    <t xml:space="preserve">Uruguay gana</t>
  </si>
  <si>
    <t xml:space="preserve">Egipto 2X</t>
  </si>
  <si>
    <t xml:space="preserve">Combo del día (#24+#25+#26)</t>
  </si>
  <si>
    <t xml:space="preserve">DÍA 22/06</t>
  </si>
  <si>
    <t xml:space="preserve">DÍA 23/06</t>
  </si>
  <si>
    <t xml:space="preserve">Inglaterra gana</t>
  </si>
  <si>
    <t xml:space="preserve">Croacia gana</t>
  </si>
  <si>
    <t xml:space="preserve">Combo del día (#30+#31+#32+#33)</t>
  </si>
  <si>
    <t xml:space="preserve">DÍA 24/06</t>
  </si>
  <si>
    <t xml:space="preserve">Corea 2X</t>
  </si>
  <si>
    <t xml:space="preserve">Combo del día (#34+#35+#36)</t>
  </si>
  <si>
    <t xml:space="preserve">DÍA 25/06</t>
  </si>
  <si>
    <t xml:space="preserve">C.Marfil gana</t>
  </si>
  <si>
    <t xml:space="preserve">DÍA 26/06</t>
  </si>
  <si>
    <t xml:space="preserve">Senegal gana</t>
  </si>
  <si>
    <t xml:space="preserve">Combo del día (#38+#39)</t>
  </si>
  <si>
    <t xml:space="preserve">DÍA 27/06</t>
  </si>
  <si>
    <t xml:space="preserve">Argentina gana</t>
  </si>
  <si>
    <t xml:space="preserve">Combo del día (#40+#41)</t>
  </si>
  <si>
    <t xml:space="preserve">Banca rodante final</t>
  </si>
  <si>
    <t xml:space="preserve">Bóveda acumulada (asegurado)</t>
  </si>
  <si>
    <t xml:space="preserve">RIQUEZA TOTAL (banca + bóveda)</t>
  </si>
  <si>
    <t xml:space="preserve">Nota: riqueza total = banca rodante final + lo que mandaste a la bóveda en el camino.</t>
  </si>
  <si>
    <t xml:space="preserve">Gestión en vivo: Cashout y Cobertura (Hedge)</t>
  </si>
  <si>
    <t xml:space="preserve">REGLA DE CASHOUT</t>
  </si>
  <si>
    <t xml:space="preserve">• Valor esperado de seguir = (prob. de las patas restantes) × (pago potencial).</t>
  </si>
  <si>
    <t xml:space="preserve">• Cierra cuando el cashout ofrecido ≥ ese valor, o cuando ya asegura tu objetivo y no quieres arriesgar.</t>
  </si>
  <si>
    <t xml:space="preserve">• Con banca rodante conviene cerrar antes: proteger el capital que rueda al día siguiente vale más que el último 10%.</t>
  </si>
  <si>
    <t xml:space="preserve">CALCULADORA DE HEDGE (última pata viva)</t>
  </si>
  <si>
    <t xml:space="preserve">Pago potencial si gana (W, S/)</t>
  </si>
  <si>
    <t xml:space="preserve">Cuota del resultado CONTRARIO (o)</t>
  </si>
  <si>
    <t xml:space="preserve">Ya apostado (S, S/)</t>
  </si>
  <si>
    <t xml:space="preserve">Apostar al contrario (hedge=W/o)</t>
  </si>
  <si>
    <t xml:space="preserve">Ganancia GARANTIZADA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</si>
</sst>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S/ &quot;#,##0.00"/>
    <numFmt numFmtId="166" formatCode="0.00"/>
    <numFmt numFmtId="167" formatCode="0%"/>
    <numFmt numFmtId="168" formatCode="\+0.0%;\-0.0%"/>
    <numFmt numFmtId="169" formatCode="0.0%"/>
    <numFmt numFmtId="170" formatCode="&quot;S/ &quot;#,##0.00;[RED]&quot;S/ -&quot;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s">
        <v>9</v>
      </c>
      <c r="C6" s="6" t="s">
        <v>10</v>
      </c>
      <c r="D6" s="6" t="s">
        <v>11</v>
      </c>
      <c r="E6" s="6" t="s">
        <v>12</v>
      </c>
    </row>
    <row r="7" customFormat="false" ht="15" hidden="false" customHeight="false" outlineLevel="0" collapsed="false">
      <c r="A7" s="5" t="s">
        <v>13</v>
      </c>
      <c r="B7" s="6" t="s">
        <v>14</v>
      </c>
      <c r="C7" s="6" t="s">
        <v>15</v>
      </c>
      <c r="D7" s="6" t="s">
        <v>16</v>
      </c>
      <c r="E7" s="6" t="s">
        <v>12</v>
      </c>
    </row>
    <row r="9" customFormat="false" ht="15" hidden="false" customHeight="false" outlineLevel="0" collapsed="false">
      <c r="A9" s="7" t="s">
        <v>17</v>
      </c>
      <c r="B9" s="7"/>
      <c r="C9" s="7"/>
      <c r="D9" s="7"/>
      <c r="E9" s="7"/>
    </row>
    <row r="10" customFormat="false" ht="15" hidden="false" customHeight="false" outlineLevel="0" collapsed="false">
      <c r="A10" s="8" t="s">
        <v>18</v>
      </c>
      <c r="B10" s="8"/>
      <c r="C10" s="8"/>
      <c r="D10" s="8"/>
      <c r="E10" s="8"/>
    </row>
    <row r="11" customFormat="false" ht="15" hidden="false" customHeight="false" outlineLevel="0" collapsed="false">
      <c r="A11" s="8" t="s">
        <v>19</v>
      </c>
      <c r="B11" s="8"/>
      <c r="C11" s="8"/>
      <c r="D11" s="8"/>
      <c r="E11" s="8"/>
    </row>
    <row r="12" customFormat="false" ht="15" hidden="false" customHeight="false" outlineLevel="0" collapsed="false">
      <c r="A12" s="8" t="s">
        <v>20</v>
      </c>
      <c r="B12" s="8"/>
      <c r="C12" s="8"/>
      <c r="D12" s="8"/>
      <c r="E12" s="8"/>
    </row>
    <row r="13" customFormat="false" ht="15" hidden="false" customHeight="false" outlineLevel="0" collapsed="false">
      <c r="A13" s="8" t="s">
        <v>21</v>
      </c>
      <c r="B13" s="8"/>
      <c r="C13" s="8"/>
      <c r="D13" s="8"/>
      <c r="E13" s="8"/>
    </row>
    <row r="14" customFormat="false" ht="15" hidden="false" customHeight="false" outlineLevel="0" collapsed="false">
      <c r="A14" s="8" t="s">
        <v>22</v>
      </c>
      <c r="B14" s="8"/>
      <c r="C14" s="8"/>
      <c r="D14" s="8"/>
      <c r="E14" s="8"/>
    </row>
    <row r="15" customFormat="false" ht="15" hidden="false" customHeight="false" outlineLevel="0" collapsed="false">
      <c r="A15" s="8" t="s">
        <v>23</v>
      </c>
      <c r="B15" s="8"/>
      <c r="C15" s="8"/>
      <c r="D15" s="8"/>
      <c r="E15" s="8"/>
    </row>
  </sheetData>
  <mergeCells count="7">
    <mergeCell ref="A9:E9"/>
    <mergeCell ref="A10:E10"/>
    <mergeCell ref="A11:E11"/>
    <mergeCell ref="A12:E12"/>
    <mergeCell ref="A13:E13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5" min="3" style="0" width="7"/>
    <col collapsed="false" customWidth="true" hidden="false" outlineLevel="0" max="6" min="6" style="0" width="8"/>
    <col collapsed="false" customWidth="true" hidden="false" outlineLevel="0" max="9" min="7" style="0" width="12"/>
  </cols>
  <sheetData>
    <row r="1" customFormat="false" ht="16.15" hidden="false" customHeight="false" outlineLevel="0" collapsed="false">
      <c r="A1" s="9" t="s">
        <v>24</v>
      </c>
      <c r="B1" s="9"/>
      <c r="C1" s="9"/>
      <c r="D1" s="9"/>
      <c r="E1" s="9"/>
      <c r="F1" s="9"/>
      <c r="G1" s="9"/>
      <c r="H1" s="9"/>
      <c r="I1" s="9"/>
    </row>
    <row r="2" customFormat="false" ht="15" hidden="false" customHeight="false" outlineLevel="0" collapsed="false">
      <c r="A2" s="10" t="s">
        <v>25</v>
      </c>
      <c r="B2" s="11" t="n">
        <v>500</v>
      </c>
    </row>
    <row r="4" customFormat="false" ht="15" hidden="false" customHeight="false" outlineLevel="0" collapsed="false">
      <c r="A4" s="12" t="s">
        <v>26</v>
      </c>
      <c r="B4" s="13"/>
      <c r="C4" s="13"/>
      <c r="D4" s="13"/>
      <c r="E4" s="13"/>
      <c r="F4" s="14" t="s">
        <v>27</v>
      </c>
      <c r="G4" s="15" t="n">
        <f aca="false">B2</f>
        <v>500</v>
      </c>
      <c r="H4" s="13"/>
      <c r="I4" s="13"/>
    </row>
    <row r="5" customFormat="false" ht="15" hidden="false" customHeight="false" outlineLevel="0" collapsed="false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</row>
    <row r="6" customFormat="false" ht="15" hidden="false" customHeight="false" outlineLevel="0" collapsed="false">
      <c r="A6" s="6" t="n">
        <v>1</v>
      </c>
      <c r="B6" s="16" t="s">
        <v>37</v>
      </c>
      <c r="C6" s="17" t="n">
        <v>1.45</v>
      </c>
      <c r="D6" s="18" t="n">
        <v>0.75</v>
      </c>
      <c r="E6" s="19" t="n">
        <v>0.0874999999999999</v>
      </c>
      <c r="F6" s="20" t="n">
        <v>0.06</v>
      </c>
      <c r="G6" s="21" t="n">
        <f aca="false">IF($H6="",0,$F6*G4)</f>
        <v>0</v>
      </c>
      <c r="H6" s="22"/>
      <c r="I6" s="23" t="n">
        <f aca="false">IF($H6=1,$G6*$C6,0)</f>
        <v>0</v>
      </c>
    </row>
    <row r="7" customFormat="false" ht="15" hidden="false" customHeight="false" outlineLevel="0" collapsed="false">
      <c r="A7" s="24"/>
      <c r="B7" s="25" t="s">
        <v>38</v>
      </c>
      <c r="C7" s="24"/>
      <c r="D7" s="24"/>
      <c r="E7" s="24"/>
      <c r="F7" s="24"/>
      <c r="G7" s="26" t="n">
        <f aca="false">G6</f>
        <v>0</v>
      </c>
      <c r="H7" s="26" t="n">
        <f aca="false">I6</f>
        <v>0</v>
      </c>
      <c r="I7" s="27" t="n">
        <f aca="false">(I6)-(G6)</f>
        <v>0</v>
      </c>
    </row>
    <row r="8" customFormat="false" ht="15" hidden="false" customHeight="false" outlineLevel="0" collapsed="false">
      <c r="A8" s="24"/>
      <c r="B8" s="25" t="s">
        <v>39</v>
      </c>
      <c r="C8" s="24"/>
      <c r="D8" s="24"/>
      <c r="E8" s="24"/>
      <c r="F8" s="25" t="s">
        <v>40</v>
      </c>
      <c r="G8" s="24"/>
      <c r="H8" s="28" t="n">
        <f aca="false">IF(I7&gt;0,0.4*I7,0)</f>
        <v>0</v>
      </c>
      <c r="I8" s="29" t="n">
        <f aca="false">G4+I7-H8</f>
        <v>500</v>
      </c>
    </row>
    <row r="10" customFormat="false" ht="15" hidden="false" customHeight="false" outlineLevel="0" collapsed="false">
      <c r="A10" s="12" t="s">
        <v>41</v>
      </c>
      <c r="B10" s="13"/>
      <c r="C10" s="13"/>
      <c r="D10" s="13"/>
      <c r="E10" s="13"/>
      <c r="F10" s="14" t="s">
        <v>27</v>
      </c>
      <c r="G10" s="15" t="n">
        <f aca="false">I8</f>
        <v>500</v>
      </c>
      <c r="H10" s="13"/>
      <c r="I10" s="13"/>
    </row>
    <row r="11" customFormat="false" ht="15" hidden="false" customHeight="false" outlineLevel="0" collapsed="false">
      <c r="A11" s="4" t="s">
        <v>28</v>
      </c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  <c r="G11" s="4" t="s">
        <v>34</v>
      </c>
      <c r="H11" s="4" t="s">
        <v>35</v>
      </c>
      <c r="I11" s="4" t="s">
        <v>36</v>
      </c>
    </row>
    <row r="12" customFormat="false" ht="15" hidden="false" customHeight="false" outlineLevel="0" collapsed="false">
      <c r="A12" s="6" t="n">
        <v>2</v>
      </c>
      <c r="B12" s="16" t="s">
        <v>42</v>
      </c>
      <c r="C12" s="17" t="n">
        <v>1.26</v>
      </c>
      <c r="D12" s="18" t="n">
        <v>0.87</v>
      </c>
      <c r="E12" s="19" t="n">
        <v>0.0962000000000001</v>
      </c>
      <c r="F12" s="20" t="n">
        <v>0.06</v>
      </c>
      <c r="G12" s="21" t="n">
        <f aca="false">IF($H12="",0,$F12*G10)</f>
        <v>0</v>
      </c>
      <c r="H12" s="22"/>
      <c r="I12" s="23" t="n">
        <f aca="false">IF($H12=1,$G12*$C12,0)</f>
        <v>0</v>
      </c>
    </row>
    <row r="13" customFormat="false" ht="15" hidden="false" customHeight="false" outlineLevel="0" collapsed="false">
      <c r="A13" s="6" t="n">
        <v>4</v>
      </c>
      <c r="B13" s="16" t="s">
        <v>43</v>
      </c>
      <c r="C13" s="17" t="n">
        <v>1.8</v>
      </c>
      <c r="D13" s="18" t="n">
        <v>0.78</v>
      </c>
      <c r="E13" s="19" t="n">
        <v>0.404</v>
      </c>
      <c r="F13" s="20" t="n">
        <v>0.06</v>
      </c>
      <c r="G13" s="21" t="n">
        <f aca="false">IF($H13="",0,$F13*G10)</f>
        <v>0</v>
      </c>
      <c r="H13" s="22"/>
      <c r="I13" s="23" t="n">
        <f aca="false">IF($H13=1,$G13*$C13,0)</f>
        <v>0</v>
      </c>
    </row>
    <row r="14" customFormat="false" ht="15" hidden="false" customHeight="false" outlineLevel="0" collapsed="false">
      <c r="A14" s="6" t="s">
        <v>44</v>
      </c>
      <c r="B14" s="30" t="s">
        <v>45</v>
      </c>
      <c r="C14" s="17" t="n">
        <v>2.27</v>
      </c>
      <c r="D14" s="31"/>
      <c r="E14" s="31"/>
      <c r="F14" s="20" t="n">
        <v>0.02</v>
      </c>
      <c r="G14" s="21" t="n">
        <f aca="false">IF($H14="",0,$F14*G10)</f>
        <v>0</v>
      </c>
      <c r="H14" s="32" t="str">
        <f aca="false">IF(COUNT(H12,H13)&lt;2,"",IF((H12+H13)=2,1,0))</f>
        <v/>
      </c>
      <c r="I14" s="23" t="n">
        <f aca="false">IF($H14=1,$G14*$C14,0)</f>
        <v>0</v>
      </c>
    </row>
    <row r="15" customFormat="false" ht="15" hidden="false" customHeight="false" outlineLevel="0" collapsed="false">
      <c r="A15" s="24"/>
      <c r="B15" s="25" t="s">
        <v>38</v>
      </c>
      <c r="C15" s="24"/>
      <c r="D15" s="24"/>
      <c r="E15" s="24"/>
      <c r="F15" s="24"/>
      <c r="G15" s="26" t="n">
        <f aca="false">G12+G13+G14</f>
        <v>0</v>
      </c>
      <c r="H15" s="26" t="n">
        <f aca="false">I12+I13+I14</f>
        <v>0</v>
      </c>
      <c r="I15" s="27" t="n">
        <f aca="false">(I12+I13+I14)-(G12+G13+G14)</f>
        <v>0</v>
      </c>
    </row>
    <row r="16" customFormat="false" ht="15" hidden="false" customHeight="false" outlineLevel="0" collapsed="false">
      <c r="A16" s="24"/>
      <c r="B16" s="25" t="s">
        <v>39</v>
      </c>
      <c r="C16" s="24"/>
      <c r="D16" s="24"/>
      <c r="E16" s="24"/>
      <c r="F16" s="25" t="s">
        <v>40</v>
      </c>
      <c r="G16" s="24"/>
      <c r="H16" s="28" t="n">
        <f aca="false">IF(I15&gt;0,0.4*I15,0)</f>
        <v>0</v>
      </c>
      <c r="I16" s="29" t="n">
        <f aca="false">G10+I15-H16</f>
        <v>500</v>
      </c>
    </row>
    <row r="18" customFormat="false" ht="15" hidden="false" customHeight="false" outlineLevel="0" collapsed="false">
      <c r="A18" s="12" t="s">
        <v>46</v>
      </c>
      <c r="B18" s="13"/>
      <c r="C18" s="13"/>
      <c r="D18" s="13"/>
      <c r="E18" s="13"/>
      <c r="F18" s="14" t="s">
        <v>27</v>
      </c>
      <c r="G18" s="15" t="n">
        <f aca="false">I16</f>
        <v>500</v>
      </c>
      <c r="H18" s="13"/>
      <c r="I18" s="13"/>
    </row>
    <row r="19" customFormat="false" ht="15" hidden="false" customHeight="false" outlineLevel="0" collapsed="false">
      <c r="A19" s="4" t="s">
        <v>28</v>
      </c>
      <c r="B19" s="4" t="s">
        <v>29</v>
      </c>
      <c r="C19" s="4" t="s">
        <v>30</v>
      </c>
      <c r="D19" s="4" t="s">
        <v>31</v>
      </c>
      <c r="E19" s="4" t="s">
        <v>32</v>
      </c>
      <c r="F19" s="4" t="s">
        <v>33</v>
      </c>
      <c r="G19" s="4" t="s">
        <v>34</v>
      </c>
      <c r="H19" s="4" t="s">
        <v>35</v>
      </c>
      <c r="I19" s="4" t="s">
        <v>36</v>
      </c>
    </row>
    <row r="20" customFormat="false" ht="15" hidden="false" customHeight="false" outlineLevel="0" collapsed="false">
      <c r="A20" s="6" t="n">
        <v>5</v>
      </c>
      <c r="B20" s="16" t="s">
        <v>47</v>
      </c>
      <c r="C20" s="17" t="n">
        <v>1.05</v>
      </c>
      <c r="D20" s="18" t="n">
        <v>0.98</v>
      </c>
      <c r="E20" s="19" t="n">
        <v>0.0289999999999999</v>
      </c>
      <c r="F20" s="20" t="n">
        <v>0.06</v>
      </c>
      <c r="G20" s="21" t="n">
        <f aca="false">IF($H20="",0,$F20*G18)</f>
        <v>0</v>
      </c>
      <c r="H20" s="22"/>
      <c r="I20" s="23" t="n">
        <f aca="false">IF($H20=1,$G20*$C20,0)</f>
        <v>0</v>
      </c>
    </row>
    <row r="21" customFormat="false" ht="15" hidden="false" customHeight="false" outlineLevel="0" collapsed="false">
      <c r="A21" s="24"/>
      <c r="B21" s="25" t="s">
        <v>38</v>
      </c>
      <c r="C21" s="24"/>
      <c r="D21" s="24"/>
      <c r="E21" s="24"/>
      <c r="F21" s="24"/>
      <c r="G21" s="26" t="n">
        <f aca="false">G20</f>
        <v>0</v>
      </c>
      <c r="H21" s="26" t="n">
        <f aca="false">I20</f>
        <v>0</v>
      </c>
      <c r="I21" s="27" t="n">
        <f aca="false">(I20)-(G20)</f>
        <v>0</v>
      </c>
    </row>
    <row r="22" customFormat="false" ht="15" hidden="false" customHeight="false" outlineLevel="0" collapsed="false">
      <c r="A22" s="24"/>
      <c r="B22" s="25" t="s">
        <v>39</v>
      </c>
      <c r="C22" s="24"/>
      <c r="D22" s="24"/>
      <c r="E22" s="24"/>
      <c r="F22" s="25" t="s">
        <v>40</v>
      </c>
      <c r="G22" s="24"/>
      <c r="H22" s="28" t="n">
        <f aca="false">IF(I21&gt;0,0.4*I21,0)</f>
        <v>0</v>
      </c>
      <c r="I22" s="29" t="n">
        <f aca="false">G18+I21-H22</f>
        <v>500</v>
      </c>
    </row>
    <row r="24" customFormat="false" ht="15" hidden="false" customHeight="false" outlineLevel="0" collapsed="false">
      <c r="A24" s="12" t="s">
        <v>48</v>
      </c>
      <c r="B24" s="13"/>
      <c r="C24" s="13"/>
      <c r="D24" s="13"/>
      <c r="E24" s="13"/>
      <c r="F24" s="14" t="s">
        <v>27</v>
      </c>
      <c r="G24" s="15" t="n">
        <f aca="false">I22</f>
        <v>500</v>
      </c>
      <c r="H24" s="13"/>
      <c r="I24" s="13"/>
    </row>
    <row r="25" customFormat="false" ht="15" hidden="false" customHeight="false" outlineLevel="0" collapsed="false">
      <c r="A25" s="4" t="s">
        <v>28</v>
      </c>
      <c r="B25" s="4" t="s">
        <v>29</v>
      </c>
      <c r="C25" s="4" t="s">
        <v>30</v>
      </c>
      <c r="D25" s="4" t="s">
        <v>31</v>
      </c>
      <c r="E25" s="4" t="s">
        <v>32</v>
      </c>
      <c r="F25" s="4" t="s">
        <v>33</v>
      </c>
      <c r="G25" s="4" t="s">
        <v>34</v>
      </c>
      <c r="H25" s="4" t="s">
        <v>35</v>
      </c>
      <c r="I25" s="4" t="s">
        <v>36</v>
      </c>
    </row>
    <row r="26" customFormat="false" ht="15" hidden="false" customHeight="false" outlineLevel="0" collapsed="false">
      <c r="A26" s="6" t="n">
        <v>6</v>
      </c>
      <c r="B26" s="16" t="s">
        <v>49</v>
      </c>
      <c r="C26" s="17" t="n">
        <v>1.1</v>
      </c>
      <c r="D26" s="18" t="n">
        <v>0.98</v>
      </c>
      <c r="E26" s="19" t="n">
        <v>0.0780000000000001</v>
      </c>
      <c r="F26" s="20" t="n">
        <v>0.06</v>
      </c>
      <c r="G26" s="21" t="n">
        <f aca="false">IF($H26="",0,$F26*G24)</f>
        <v>0</v>
      </c>
      <c r="H26" s="22"/>
      <c r="I26" s="23" t="n">
        <f aca="false">IF($H26=1,$G26*$C26,0)</f>
        <v>0</v>
      </c>
    </row>
    <row r="27" customFormat="false" ht="15" hidden="false" customHeight="false" outlineLevel="0" collapsed="false">
      <c r="A27" s="24"/>
      <c r="B27" s="25" t="s">
        <v>38</v>
      </c>
      <c r="C27" s="24"/>
      <c r="D27" s="24"/>
      <c r="E27" s="24"/>
      <c r="F27" s="24"/>
      <c r="G27" s="26" t="n">
        <f aca="false">G26</f>
        <v>0</v>
      </c>
      <c r="H27" s="26" t="n">
        <f aca="false">I26</f>
        <v>0</v>
      </c>
      <c r="I27" s="27" t="n">
        <f aca="false">(I26)-(G26)</f>
        <v>0</v>
      </c>
    </row>
    <row r="28" customFormat="false" ht="15" hidden="false" customHeight="false" outlineLevel="0" collapsed="false">
      <c r="A28" s="24"/>
      <c r="B28" s="25" t="s">
        <v>39</v>
      </c>
      <c r="C28" s="24"/>
      <c r="D28" s="24"/>
      <c r="E28" s="24"/>
      <c r="F28" s="25" t="s">
        <v>40</v>
      </c>
      <c r="G28" s="24"/>
      <c r="H28" s="28" t="n">
        <f aca="false">IF(I27&gt;0,0.4*I27,0)</f>
        <v>0</v>
      </c>
      <c r="I28" s="29" t="n">
        <f aca="false">G24+I27-H28</f>
        <v>500</v>
      </c>
    </row>
    <row r="30" customFormat="false" ht="15" hidden="false" customHeight="false" outlineLevel="0" collapsed="false">
      <c r="A30" s="12" t="s">
        <v>50</v>
      </c>
      <c r="B30" s="13"/>
      <c r="C30" s="13"/>
      <c r="D30" s="13"/>
      <c r="E30" s="13"/>
      <c r="F30" s="14" t="s">
        <v>27</v>
      </c>
      <c r="G30" s="15" t="n">
        <f aca="false">I28</f>
        <v>500</v>
      </c>
      <c r="H30" s="13"/>
      <c r="I30" s="13"/>
    </row>
    <row r="31" customFormat="false" ht="15" hidden="false" customHeight="false" outlineLevel="0" collapsed="false">
      <c r="A31" s="4" t="s">
        <v>28</v>
      </c>
      <c r="B31" s="4" t="s">
        <v>29</v>
      </c>
      <c r="C31" s="4" t="s">
        <v>30</v>
      </c>
      <c r="D31" s="4" t="s">
        <v>31</v>
      </c>
      <c r="E31" s="4" t="s">
        <v>32</v>
      </c>
      <c r="F31" s="4" t="s">
        <v>33</v>
      </c>
      <c r="G31" s="4" t="s">
        <v>34</v>
      </c>
      <c r="H31" s="4" t="s">
        <v>35</v>
      </c>
      <c r="I31" s="4" t="s">
        <v>36</v>
      </c>
    </row>
    <row r="32" customFormat="false" ht="15" hidden="false" customHeight="false" outlineLevel="0" collapsed="false">
      <c r="A32" s="6" t="n">
        <v>9</v>
      </c>
      <c r="B32" s="16" t="s">
        <v>51</v>
      </c>
      <c r="C32" s="17" t="n">
        <v>1.47</v>
      </c>
      <c r="D32" s="18" t="n">
        <v>0.71</v>
      </c>
      <c r="E32" s="19" t="n">
        <v>0.0436999999999999</v>
      </c>
      <c r="F32" s="20" t="n">
        <v>0.06</v>
      </c>
      <c r="G32" s="21" t="n">
        <f aca="false">IF($H32="",0,$F32*G30)</f>
        <v>0</v>
      </c>
      <c r="H32" s="22"/>
      <c r="I32" s="23" t="n">
        <f aca="false">IF($H32=1,$G32*$C32,0)</f>
        <v>0</v>
      </c>
    </row>
    <row r="33" customFormat="false" ht="15" hidden="false" customHeight="false" outlineLevel="0" collapsed="false">
      <c r="A33" s="6" t="n">
        <v>10</v>
      </c>
      <c r="B33" s="16" t="s">
        <v>52</v>
      </c>
      <c r="C33" s="17" t="n">
        <v>1.23</v>
      </c>
      <c r="D33" s="18" t="n">
        <v>0.87</v>
      </c>
      <c r="E33" s="19" t="n">
        <v>0.0701000000000001</v>
      </c>
      <c r="F33" s="20" t="n">
        <v>0.06</v>
      </c>
      <c r="G33" s="21" t="n">
        <f aca="false">IF($H33="",0,$F33*G30)</f>
        <v>0</v>
      </c>
      <c r="H33" s="22"/>
      <c r="I33" s="23" t="n">
        <f aca="false">IF($H33=1,$G33*$C33,0)</f>
        <v>0</v>
      </c>
    </row>
    <row r="34" customFormat="false" ht="15" hidden="false" customHeight="false" outlineLevel="0" collapsed="false">
      <c r="A34" s="6" t="n">
        <v>12</v>
      </c>
      <c r="B34" s="16" t="s">
        <v>53</v>
      </c>
      <c r="C34" s="17" t="n">
        <v>1.34</v>
      </c>
      <c r="D34" s="18" t="n">
        <v>0.82</v>
      </c>
      <c r="E34" s="19" t="n">
        <v>0.0988</v>
      </c>
      <c r="F34" s="20" t="n">
        <v>0.06</v>
      </c>
      <c r="G34" s="21" t="n">
        <f aca="false">IF($H34="",0,$F34*G30)</f>
        <v>0</v>
      </c>
      <c r="H34" s="22"/>
      <c r="I34" s="23" t="n">
        <f aca="false">IF($H34=1,$G34*$C34,0)</f>
        <v>0</v>
      </c>
    </row>
    <row r="35" customFormat="false" ht="15" hidden="false" customHeight="false" outlineLevel="0" collapsed="false">
      <c r="A35" s="6" t="s">
        <v>44</v>
      </c>
      <c r="B35" s="30" t="s">
        <v>54</v>
      </c>
      <c r="C35" s="17" t="n">
        <v>2.42</v>
      </c>
      <c r="D35" s="31"/>
      <c r="E35" s="31"/>
      <c r="F35" s="20" t="n">
        <v>0.02</v>
      </c>
      <c r="G35" s="21" t="n">
        <f aca="false">IF($H35="",0,$F35*G30)</f>
        <v>0</v>
      </c>
      <c r="H35" s="32" t="str">
        <f aca="false">IF(COUNT(H32,H33,H34)&lt;3,"",IF((H32+H33+H34)=3,1,0))</f>
        <v/>
      </c>
      <c r="I35" s="23" t="n">
        <f aca="false">IF($H35=1,$G35*$C35,0)</f>
        <v>0</v>
      </c>
    </row>
    <row r="36" customFormat="false" ht="15" hidden="false" customHeight="false" outlineLevel="0" collapsed="false">
      <c r="A36" s="24"/>
      <c r="B36" s="25" t="s">
        <v>38</v>
      </c>
      <c r="C36" s="24"/>
      <c r="D36" s="24"/>
      <c r="E36" s="24"/>
      <c r="F36" s="24"/>
      <c r="G36" s="26" t="n">
        <f aca="false">G32+G33+G34+G35</f>
        <v>0</v>
      </c>
      <c r="H36" s="26" t="n">
        <f aca="false">I32+I33+I34+I35</f>
        <v>0</v>
      </c>
      <c r="I36" s="27" t="n">
        <f aca="false">(I32+I33+I34+I35)-(G32+G33+G34+G35)</f>
        <v>0</v>
      </c>
    </row>
    <row r="37" customFormat="false" ht="15" hidden="false" customHeight="false" outlineLevel="0" collapsed="false">
      <c r="A37" s="24"/>
      <c r="B37" s="25" t="s">
        <v>39</v>
      </c>
      <c r="C37" s="24"/>
      <c r="D37" s="24"/>
      <c r="E37" s="24"/>
      <c r="F37" s="25" t="s">
        <v>40</v>
      </c>
      <c r="G37" s="24"/>
      <c r="H37" s="28" t="n">
        <f aca="false">IF(I36&gt;0,0.4*I36,0)</f>
        <v>0</v>
      </c>
      <c r="I37" s="29" t="n">
        <f aca="false">G30+I36-H37</f>
        <v>500</v>
      </c>
    </row>
    <row r="39" customFormat="false" ht="15" hidden="false" customHeight="false" outlineLevel="0" collapsed="false">
      <c r="A39" s="12" t="s">
        <v>55</v>
      </c>
      <c r="B39" s="13"/>
      <c r="C39" s="13"/>
      <c r="D39" s="13"/>
      <c r="E39" s="13"/>
      <c r="F39" s="14" t="s">
        <v>27</v>
      </c>
      <c r="G39" s="15" t="n">
        <f aca="false">I37</f>
        <v>500</v>
      </c>
      <c r="H39" s="13"/>
      <c r="I39" s="13"/>
    </row>
    <row r="40" customFormat="false" ht="15" hidden="false" customHeight="false" outlineLevel="0" collapsed="false">
      <c r="A40" s="4" t="s">
        <v>28</v>
      </c>
      <c r="B40" s="4" t="s">
        <v>29</v>
      </c>
      <c r="C40" s="4" t="s">
        <v>30</v>
      </c>
      <c r="D40" s="4" t="s">
        <v>31</v>
      </c>
      <c r="E40" s="4" t="s">
        <v>32</v>
      </c>
      <c r="F40" s="4" t="s">
        <v>33</v>
      </c>
      <c r="G40" s="4" t="s">
        <v>34</v>
      </c>
      <c r="H40" s="4" t="s">
        <v>35</v>
      </c>
      <c r="I40" s="4" t="s">
        <v>36</v>
      </c>
    </row>
    <row r="41" customFormat="false" ht="15" hidden="false" customHeight="false" outlineLevel="0" collapsed="false">
      <c r="A41" s="6" t="n">
        <v>13</v>
      </c>
      <c r="B41" s="16" t="s">
        <v>56</v>
      </c>
      <c r="C41" s="17" t="n">
        <v>1.28</v>
      </c>
      <c r="D41" s="18" t="n">
        <v>0.85</v>
      </c>
      <c r="E41" s="19" t="n">
        <v>0.0880000000000001</v>
      </c>
      <c r="F41" s="20" t="n">
        <v>0.06</v>
      </c>
      <c r="G41" s="21" t="n">
        <f aca="false">IF($H41="",0,$F41*G39)</f>
        <v>0</v>
      </c>
      <c r="H41" s="22"/>
      <c r="I41" s="23" t="n">
        <f aca="false">IF($H41=1,$G41*$C41,0)</f>
        <v>0</v>
      </c>
    </row>
    <row r="42" customFormat="false" ht="15" hidden="false" customHeight="false" outlineLevel="0" collapsed="false">
      <c r="A42" s="6" t="n">
        <v>14</v>
      </c>
      <c r="B42" s="16" t="s">
        <v>57</v>
      </c>
      <c r="C42" s="17" t="n">
        <v>1.29</v>
      </c>
      <c r="D42" s="18" t="n">
        <v>0.8</v>
      </c>
      <c r="E42" s="19" t="n">
        <v>0.032</v>
      </c>
      <c r="F42" s="20" t="n">
        <v>0.06</v>
      </c>
      <c r="G42" s="21" t="n">
        <f aca="false">IF($H42="",0,$F42*G39)</f>
        <v>0</v>
      </c>
      <c r="H42" s="22"/>
      <c r="I42" s="23" t="n">
        <f aca="false">IF($H42=1,$G42*$C42,0)</f>
        <v>0</v>
      </c>
    </row>
    <row r="43" customFormat="false" ht="15" hidden="false" customHeight="false" outlineLevel="0" collapsed="false">
      <c r="A43" s="6" t="n">
        <v>15</v>
      </c>
      <c r="B43" s="16" t="s">
        <v>58</v>
      </c>
      <c r="C43" s="17" t="n">
        <v>1.42</v>
      </c>
      <c r="D43" s="18" t="n">
        <v>0.92</v>
      </c>
      <c r="E43" s="19" t="n">
        <v>0.3064</v>
      </c>
      <c r="F43" s="20" t="n">
        <v>0.06</v>
      </c>
      <c r="G43" s="21" t="n">
        <f aca="false">IF($H43="",0,$F43*G39)</f>
        <v>0</v>
      </c>
      <c r="H43" s="22"/>
      <c r="I43" s="23" t="n">
        <f aca="false">IF($H43=1,$G43*$C43,0)</f>
        <v>0</v>
      </c>
    </row>
    <row r="44" customFormat="false" ht="15" hidden="false" customHeight="false" outlineLevel="0" collapsed="false">
      <c r="A44" s="6" t="s">
        <v>44</v>
      </c>
      <c r="B44" s="30" t="s">
        <v>59</v>
      </c>
      <c r="C44" s="17" t="n">
        <v>2.34</v>
      </c>
      <c r="D44" s="31"/>
      <c r="E44" s="31"/>
      <c r="F44" s="20" t="n">
        <v>0.02</v>
      </c>
      <c r="G44" s="21" t="n">
        <f aca="false">IF($H44="",0,$F44*G39)</f>
        <v>0</v>
      </c>
      <c r="H44" s="32" t="str">
        <f aca="false">IF(COUNT(H41,H42,H43)&lt;3,"",IF((H41+H42+H43)=3,1,0))</f>
        <v/>
      </c>
      <c r="I44" s="23" t="n">
        <f aca="false">IF($H44=1,$G44*$C44,0)</f>
        <v>0</v>
      </c>
    </row>
    <row r="45" customFormat="false" ht="15" hidden="false" customHeight="false" outlineLevel="0" collapsed="false">
      <c r="A45" s="24"/>
      <c r="B45" s="25" t="s">
        <v>38</v>
      </c>
      <c r="C45" s="24"/>
      <c r="D45" s="24"/>
      <c r="E45" s="24"/>
      <c r="F45" s="24"/>
      <c r="G45" s="26" t="n">
        <f aca="false">G41+G42+G43+G44</f>
        <v>0</v>
      </c>
      <c r="H45" s="26" t="n">
        <f aca="false">I41+I42+I43+I44</f>
        <v>0</v>
      </c>
      <c r="I45" s="27" t="n">
        <f aca="false">(I41+I42+I43+I44)-(G41+G42+G43+G44)</f>
        <v>0</v>
      </c>
    </row>
    <row r="46" customFormat="false" ht="15" hidden="false" customHeight="false" outlineLevel="0" collapsed="false">
      <c r="A46" s="24"/>
      <c r="B46" s="25" t="s">
        <v>39</v>
      </c>
      <c r="C46" s="24"/>
      <c r="D46" s="24"/>
      <c r="E46" s="24"/>
      <c r="F46" s="25" t="s">
        <v>40</v>
      </c>
      <c r="G46" s="24"/>
      <c r="H46" s="28" t="n">
        <f aca="false">IF(I45&gt;0,0.4*I45,0)</f>
        <v>0</v>
      </c>
      <c r="I46" s="29" t="n">
        <f aca="false">G39+I45-H46</f>
        <v>500</v>
      </c>
    </row>
    <row r="48" customFormat="false" ht="15" hidden="false" customHeight="false" outlineLevel="0" collapsed="false">
      <c r="A48" s="12" t="s">
        <v>60</v>
      </c>
      <c r="B48" s="13"/>
      <c r="C48" s="13"/>
      <c r="D48" s="13"/>
      <c r="E48" s="13"/>
      <c r="F48" s="14" t="s">
        <v>27</v>
      </c>
      <c r="G48" s="15" t="n">
        <f aca="false">I46</f>
        <v>500</v>
      </c>
      <c r="H48" s="13"/>
      <c r="I48" s="13"/>
    </row>
    <row r="49" customFormat="false" ht="15" hidden="false" customHeight="false" outlineLevel="0" collapsed="false">
      <c r="A49" s="4" t="s">
        <v>28</v>
      </c>
      <c r="B49" s="4" t="s">
        <v>29</v>
      </c>
      <c r="C49" s="4" t="s">
        <v>30</v>
      </c>
      <c r="D49" s="4" t="s">
        <v>31</v>
      </c>
      <c r="E49" s="4" t="s">
        <v>32</v>
      </c>
      <c r="F49" s="4" t="s">
        <v>33</v>
      </c>
      <c r="G49" s="4" t="s">
        <v>34</v>
      </c>
      <c r="H49" s="4" t="s">
        <v>35</v>
      </c>
      <c r="I49" s="4" t="s">
        <v>36</v>
      </c>
    </row>
    <row r="50" customFormat="false" ht="15" hidden="false" customHeight="false" outlineLevel="0" collapsed="false">
      <c r="A50" s="6" t="n">
        <v>16</v>
      </c>
      <c r="B50" s="16" t="s">
        <v>61</v>
      </c>
      <c r="C50" s="17" t="n">
        <v>1.27</v>
      </c>
      <c r="D50" s="18" t="n">
        <v>0.88</v>
      </c>
      <c r="E50" s="19" t="n">
        <v>0.1176</v>
      </c>
      <c r="F50" s="20" t="n">
        <v>0.06</v>
      </c>
      <c r="G50" s="21" t="n">
        <f aca="false">IF($H50="",0,$F50*G48)</f>
        <v>0</v>
      </c>
      <c r="H50" s="22"/>
      <c r="I50" s="23" t="n">
        <f aca="false">IF($H50=1,$G50*$C50,0)</f>
        <v>0</v>
      </c>
    </row>
    <row r="51" customFormat="false" ht="15" hidden="false" customHeight="false" outlineLevel="0" collapsed="false">
      <c r="A51" s="24"/>
      <c r="B51" s="25" t="s">
        <v>38</v>
      </c>
      <c r="C51" s="24"/>
      <c r="D51" s="24"/>
      <c r="E51" s="24"/>
      <c r="F51" s="24"/>
      <c r="G51" s="26" t="n">
        <f aca="false">G50</f>
        <v>0</v>
      </c>
      <c r="H51" s="26" t="n">
        <f aca="false">I50</f>
        <v>0</v>
      </c>
      <c r="I51" s="27" t="n">
        <f aca="false">(I50)-(G50)</f>
        <v>0</v>
      </c>
    </row>
    <row r="52" customFormat="false" ht="15" hidden="false" customHeight="false" outlineLevel="0" collapsed="false">
      <c r="A52" s="24"/>
      <c r="B52" s="25" t="s">
        <v>39</v>
      </c>
      <c r="C52" s="24"/>
      <c r="D52" s="24"/>
      <c r="E52" s="24"/>
      <c r="F52" s="25" t="s">
        <v>40</v>
      </c>
      <c r="G52" s="24"/>
      <c r="H52" s="28" t="n">
        <f aca="false">IF(I51&gt;0,0.4*I51,0)</f>
        <v>0</v>
      </c>
      <c r="I52" s="29" t="n">
        <f aca="false">G48+I51-H52</f>
        <v>500</v>
      </c>
    </row>
    <row r="54" customFormat="false" ht="15" hidden="false" customHeight="false" outlineLevel="0" collapsed="false">
      <c r="A54" s="12" t="s">
        <v>62</v>
      </c>
      <c r="B54" s="13"/>
      <c r="C54" s="13"/>
      <c r="D54" s="13"/>
      <c r="E54" s="13"/>
      <c r="F54" s="14" t="s">
        <v>27</v>
      </c>
      <c r="G54" s="15" t="n">
        <f aca="false">I52</f>
        <v>500</v>
      </c>
      <c r="H54" s="13"/>
      <c r="I54" s="13"/>
    </row>
    <row r="55" customFormat="false" ht="15" hidden="false" customHeight="false" outlineLevel="0" collapsed="false">
      <c r="A55" s="4" t="s">
        <v>28</v>
      </c>
      <c r="B55" s="4" t="s">
        <v>29</v>
      </c>
      <c r="C55" s="4" t="s">
        <v>30</v>
      </c>
      <c r="D55" s="4" t="s">
        <v>31</v>
      </c>
      <c r="E55" s="4" t="s">
        <v>32</v>
      </c>
      <c r="F55" s="4" t="s">
        <v>33</v>
      </c>
      <c r="G55" s="4" t="s">
        <v>34</v>
      </c>
      <c r="H55" s="4" t="s">
        <v>35</v>
      </c>
      <c r="I55" s="4" t="s">
        <v>36</v>
      </c>
    </row>
    <row r="56" customFormat="false" ht="15" hidden="false" customHeight="false" outlineLevel="0" collapsed="false">
      <c r="A56" s="6" t="n">
        <v>19</v>
      </c>
      <c r="B56" s="16" t="s">
        <v>63</v>
      </c>
      <c r="C56" s="17" t="n">
        <v>2.05</v>
      </c>
      <c r="D56" s="18" t="n">
        <v>0.82</v>
      </c>
      <c r="E56" s="19" t="n">
        <v>0.681</v>
      </c>
      <c r="F56" s="20" t="n">
        <v>0.06</v>
      </c>
      <c r="G56" s="21" t="n">
        <f aca="false">IF($H56="",0,$F56*G54)</f>
        <v>0</v>
      </c>
      <c r="H56" s="22"/>
      <c r="I56" s="23" t="n">
        <f aca="false">IF($H56=1,$G56*$C56,0)</f>
        <v>0</v>
      </c>
    </row>
    <row r="57" customFormat="false" ht="15" hidden="false" customHeight="false" outlineLevel="0" collapsed="false">
      <c r="A57" s="6" t="n">
        <v>20</v>
      </c>
      <c r="B57" s="16" t="s">
        <v>64</v>
      </c>
      <c r="C57" s="17" t="n">
        <v>1.06</v>
      </c>
      <c r="D57" s="18" t="n">
        <v>0.99</v>
      </c>
      <c r="E57" s="19" t="n">
        <v>0.0494000000000001</v>
      </c>
      <c r="F57" s="20" t="n">
        <v>0.06</v>
      </c>
      <c r="G57" s="21" t="n">
        <f aca="false">IF($H57="",0,$F57*G54)</f>
        <v>0</v>
      </c>
      <c r="H57" s="22"/>
      <c r="I57" s="23" t="n">
        <f aca="false">IF($H57=1,$G57*$C57,0)</f>
        <v>0</v>
      </c>
    </row>
    <row r="58" customFormat="false" ht="15" hidden="false" customHeight="false" outlineLevel="0" collapsed="false">
      <c r="A58" s="6" t="s">
        <v>44</v>
      </c>
      <c r="B58" s="30" t="s">
        <v>65</v>
      </c>
      <c r="C58" s="17" t="n">
        <v>2.17</v>
      </c>
      <c r="D58" s="31"/>
      <c r="E58" s="31"/>
      <c r="F58" s="20" t="n">
        <v>0.02</v>
      </c>
      <c r="G58" s="21" t="n">
        <f aca="false">IF($H58="",0,$F58*G54)</f>
        <v>0</v>
      </c>
      <c r="H58" s="32" t="str">
        <f aca="false">IF(COUNT(H56,H57)&lt;2,"",IF((H56+H57)=2,1,0))</f>
        <v/>
      </c>
      <c r="I58" s="23" t="n">
        <f aca="false">IF($H58=1,$G58*$C58,0)</f>
        <v>0</v>
      </c>
    </row>
    <row r="59" customFormat="false" ht="15" hidden="false" customHeight="false" outlineLevel="0" collapsed="false">
      <c r="A59" s="24"/>
      <c r="B59" s="25" t="s">
        <v>38</v>
      </c>
      <c r="C59" s="24"/>
      <c r="D59" s="24"/>
      <c r="E59" s="24"/>
      <c r="F59" s="24"/>
      <c r="G59" s="26" t="n">
        <f aca="false">G56+G57+G58</f>
        <v>0</v>
      </c>
      <c r="H59" s="26" t="n">
        <f aca="false">I56+I57+I58</f>
        <v>0</v>
      </c>
      <c r="I59" s="27" t="n">
        <f aca="false">(I56+I57+I58)-(G56+G57+G58)</f>
        <v>0</v>
      </c>
    </row>
    <row r="60" customFormat="false" ht="15" hidden="false" customHeight="false" outlineLevel="0" collapsed="false">
      <c r="A60" s="24"/>
      <c r="B60" s="25" t="s">
        <v>39</v>
      </c>
      <c r="C60" s="24"/>
      <c r="D60" s="24"/>
      <c r="E60" s="24"/>
      <c r="F60" s="25" t="s">
        <v>40</v>
      </c>
      <c r="G60" s="24"/>
      <c r="H60" s="28" t="n">
        <f aca="false">IF(I59&gt;0,0.4*I59,0)</f>
        <v>0</v>
      </c>
      <c r="I60" s="29" t="n">
        <f aca="false">G54+I59-H60</f>
        <v>500</v>
      </c>
    </row>
    <row r="62" customFormat="false" ht="15" hidden="false" customHeight="false" outlineLevel="0" collapsed="false">
      <c r="A62" s="12" t="s">
        <v>66</v>
      </c>
      <c r="B62" s="13"/>
      <c r="C62" s="13"/>
      <c r="D62" s="13"/>
      <c r="E62" s="13"/>
      <c r="F62" s="14" t="s">
        <v>27</v>
      </c>
      <c r="G62" s="15" t="n">
        <f aca="false">I60</f>
        <v>500</v>
      </c>
      <c r="H62" s="13"/>
      <c r="I62" s="13"/>
    </row>
    <row r="63" customFormat="false" ht="15" hidden="false" customHeight="false" outlineLevel="0" collapsed="false">
      <c r="A63" s="4" t="s">
        <v>28</v>
      </c>
      <c r="B63" s="4" t="s">
        <v>29</v>
      </c>
      <c r="C63" s="4" t="s">
        <v>30</v>
      </c>
      <c r="D63" s="4" t="s">
        <v>31</v>
      </c>
      <c r="E63" s="4" t="s">
        <v>32</v>
      </c>
      <c r="F63" s="4" t="s">
        <v>33</v>
      </c>
      <c r="G63" s="4" t="s">
        <v>34</v>
      </c>
      <c r="H63" s="4" t="s">
        <v>35</v>
      </c>
      <c r="I63" s="4" t="s">
        <v>36</v>
      </c>
    </row>
    <row r="64" customFormat="false" ht="15" hidden="false" customHeight="false" outlineLevel="0" collapsed="false">
      <c r="A64" s="6" t="n">
        <v>21</v>
      </c>
      <c r="B64" s="16" t="s">
        <v>67</v>
      </c>
      <c r="C64" s="17" t="n">
        <v>1.27</v>
      </c>
      <c r="D64" s="18" t="n">
        <v>0.95</v>
      </c>
      <c r="E64" s="19" t="n">
        <v>0.2065</v>
      </c>
      <c r="F64" s="20" t="n">
        <v>0.06</v>
      </c>
      <c r="G64" s="21" t="n">
        <f aca="false">IF($H64="",0,$F64*G62)</f>
        <v>0</v>
      </c>
      <c r="H64" s="22"/>
      <c r="I64" s="23" t="n">
        <f aca="false">IF($H64=1,$G64*$C64,0)</f>
        <v>0</v>
      </c>
    </row>
    <row r="65" customFormat="false" ht="15" hidden="false" customHeight="false" outlineLevel="0" collapsed="false">
      <c r="A65" s="24"/>
      <c r="B65" s="25" t="s">
        <v>38</v>
      </c>
      <c r="C65" s="24"/>
      <c r="D65" s="24"/>
      <c r="E65" s="24"/>
      <c r="F65" s="24"/>
      <c r="G65" s="26" t="n">
        <f aca="false">G64</f>
        <v>0</v>
      </c>
      <c r="H65" s="26" t="n">
        <f aca="false">I64</f>
        <v>0</v>
      </c>
      <c r="I65" s="27" t="n">
        <f aca="false">(I64)-(G64)</f>
        <v>0</v>
      </c>
    </row>
    <row r="66" customFormat="false" ht="15" hidden="false" customHeight="false" outlineLevel="0" collapsed="false">
      <c r="A66" s="24"/>
      <c r="B66" s="25" t="s">
        <v>39</v>
      </c>
      <c r="C66" s="24"/>
      <c r="D66" s="24"/>
      <c r="E66" s="24"/>
      <c r="F66" s="25" t="s">
        <v>40</v>
      </c>
      <c r="G66" s="24"/>
      <c r="H66" s="28" t="n">
        <f aca="false">IF(I65&gt;0,0.4*I65,0)</f>
        <v>0</v>
      </c>
      <c r="I66" s="29" t="n">
        <f aca="false">G62+I65-H66</f>
        <v>500</v>
      </c>
    </row>
    <row r="68" customFormat="false" ht="15" hidden="false" customHeight="false" outlineLevel="0" collapsed="false">
      <c r="A68" s="12" t="s">
        <v>68</v>
      </c>
      <c r="B68" s="13"/>
      <c r="C68" s="13"/>
      <c r="D68" s="13"/>
      <c r="E68" s="13"/>
      <c r="F68" s="14" t="s">
        <v>27</v>
      </c>
      <c r="G68" s="15" t="n">
        <f aca="false">I66</f>
        <v>500</v>
      </c>
      <c r="H68" s="13"/>
      <c r="I68" s="13"/>
    </row>
    <row r="69" customFormat="false" ht="15" hidden="false" customHeight="false" outlineLevel="0" collapsed="false">
      <c r="A69" s="4" t="s">
        <v>28</v>
      </c>
      <c r="B69" s="4" t="s">
        <v>29</v>
      </c>
      <c r="C69" s="4" t="s">
        <v>30</v>
      </c>
      <c r="D69" s="4" t="s">
        <v>31</v>
      </c>
      <c r="E69" s="4" t="s">
        <v>32</v>
      </c>
      <c r="F69" s="4" t="s">
        <v>33</v>
      </c>
      <c r="G69" s="4" t="s">
        <v>34</v>
      </c>
      <c r="H69" s="4" t="s">
        <v>35</v>
      </c>
      <c r="I69" s="4" t="s">
        <v>36</v>
      </c>
    </row>
    <row r="70" customFormat="false" ht="15" hidden="false" customHeight="false" outlineLevel="0" collapsed="false">
      <c r="A70" s="6" t="n">
        <v>24</v>
      </c>
      <c r="B70" s="16" t="s">
        <v>69</v>
      </c>
      <c r="C70" s="17" t="n">
        <v>1.47</v>
      </c>
      <c r="D70" s="18" t="n">
        <v>0.73</v>
      </c>
      <c r="E70" s="19" t="n">
        <v>0.0730999999999999</v>
      </c>
      <c r="F70" s="20" t="n">
        <v>0.06</v>
      </c>
      <c r="G70" s="21" t="n">
        <f aca="false">IF($H70="",0,$F70*G68)</f>
        <v>0</v>
      </c>
      <c r="H70" s="22"/>
      <c r="I70" s="23" t="n">
        <f aca="false">IF($H70=1,$G70*$C70,0)</f>
        <v>0</v>
      </c>
    </row>
    <row r="71" customFormat="false" ht="15" hidden="false" customHeight="false" outlineLevel="0" collapsed="false">
      <c r="A71" s="6" t="n">
        <v>25</v>
      </c>
      <c r="B71" s="16" t="s">
        <v>70</v>
      </c>
      <c r="C71" s="17" t="n">
        <v>1.47</v>
      </c>
      <c r="D71" s="18" t="n">
        <v>0.76</v>
      </c>
      <c r="E71" s="19" t="n">
        <v>0.1172</v>
      </c>
      <c r="F71" s="20" t="n">
        <v>0.06</v>
      </c>
      <c r="G71" s="21" t="n">
        <f aca="false">IF($H71="",0,$F71*G68)</f>
        <v>0</v>
      </c>
      <c r="H71" s="22"/>
      <c r="I71" s="23" t="n">
        <f aca="false">IF($H71=1,$G71*$C71,0)</f>
        <v>0</v>
      </c>
    </row>
    <row r="72" customFormat="false" ht="15" hidden="false" customHeight="false" outlineLevel="0" collapsed="false">
      <c r="A72" s="6" t="n">
        <v>26</v>
      </c>
      <c r="B72" s="16" t="s">
        <v>71</v>
      </c>
      <c r="C72" s="17" t="n">
        <v>1.19</v>
      </c>
      <c r="D72" s="18" t="n">
        <v>0.87</v>
      </c>
      <c r="E72" s="19" t="n">
        <v>0.0352999999999999</v>
      </c>
      <c r="F72" s="20" t="n">
        <v>0.06</v>
      </c>
      <c r="G72" s="21" t="n">
        <f aca="false">IF($H72="",0,$F72*G68)</f>
        <v>0</v>
      </c>
      <c r="H72" s="22"/>
      <c r="I72" s="23" t="n">
        <f aca="false">IF($H72=1,$G72*$C72,0)</f>
        <v>0</v>
      </c>
    </row>
    <row r="73" customFormat="false" ht="15" hidden="false" customHeight="false" outlineLevel="0" collapsed="false">
      <c r="A73" s="6" t="s">
        <v>44</v>
      </c>
      <c r="B73" s="30" t="s">
        <v>72</v>
      </c>
      <c r="C73" s="17" t="n">
        <v>2.57</v>
      </c>
      <c r="D73" s="31"/>
      <c r="E73" s="31"/>
      <c r="F73" s="20" t="n">
        <v>0.02</v>
      </c>
      <c r="G73" s="21" t="n">
        <f aca="false">IF($H73="",0,$F73*G68)</f>
        <v>0</v>
      </c>
      <c r="H73" s="32" t="str">
        <f aca="false">IF(COUNT(H70,H71,H72)&lt;3,"",IF((H70+H71+H72)=3,1,0))</f>
        <v/>
      </c>
      <c r="I73" s="23" t="n">
        <f aca="false">IF($H73=1,$G73*$C73,0)</f>
        <v>0</v>
      </c>
    </row>
    <row r="74" customFormat="false" ht="15" hidden="false" customHeight="false" outlineLevel="0" collapsed="false">
      <c r="A74" s="24"/>
      <c r="B74" s="25" t="s">
        <v>38</v>
      </c>
      <c r="C74" s="24"/>
      <c r="D74" s="24"/>
      <c r="E74" s="24"/>
      <c r="F74" s="24"/>
      <c r="G74" s="26" t="n">
        <f aca="false">G70+G71+G72+G73</f>
        <v>0</v>
      </c>
      <c r="H74" s="26" t="n">
        <f aca="false">I70+I71+I72+I73</f>
        <v>0</v>
      </c>
      <c r="I74" s="27" t="n">
        <f aca="false">(I70+I71+I72+I73)-(G70+G71+G72+G73)</f>
        <v>0</v>
      </c>
    </row>
    <row r="75" customFormat="false" ht="15" hidden="false" customHeight="false" outlineLevel="0" collapsed="false">
      <c r="A75" s="24"/>
      <c r="B75" s="25" t="s">
        <v>39</v>
      </c>
      <c r="C75" s="24"/>
      <c r="D75" s="24"/>
      <c r="E75" s="24"/>
      <c r="F75" s="25" t="s">
        <v>40</v>
      </c>
      <c r="G75" s="24"/>
      <c r="H75" s="28" t="n">
        <f aca="false">IF(I74&gt;0,0.4*I74,0)</f>
        <v>0</v>
      </c>
      <c r="I75" s="29" t="n">
        <f aca="false">G68+I74-H75</f>
        <v>500</v>
      </c>
    </row>
    <row r="77" customFormat="false" ht="15" hidden="false" customHeight="false" outlineLevel="0" collapsed="false">
      <c r="A77" s="12" t="s">
        <v>73</v>
      </c>
      <c r="B77" s="13"/>
      <c r="C77" s="13"/>
      <c r="D77" s="13"/>
      <c r="E77" s="13"/>
      <c r="F77" s="14" t="s">
        <v>27</v>
      </c>
      <c r="G77" s="15" t="n">
        <f aca="false">I75</f>
        <v>500</v>
      </c>
      <c r="H77" s="13"/>
      <c r="I77" s="13"/>
    </row>
    <row r="78" customFormat="false" ht="15" hidden="false" customHeight="false" outlineLevel="0" collapsed="false">
      <c r="A78" s="4" t="s">
        <v>28</v>
      </c>
      <c r="B78" s="4" t="s">
        <v>29</v>
      </c>
      <c r="C78" s="4" t="s">
        <v>30</v>
      </c>
      <c r="D78" s="4" t="s">
        <v>31</v>
      </c>
      <c r="E78" s="4" t="s">
        <v>32</v>
      </c>
      <c r="F78" s="4" t="s">
        <v>33</v>
      </c>
      <c r="G78" s="4" t="s">
        <v>34</v>
      </c>
      <c r="H78" s="4" t="s">
        <v>35</v>
      </c>
      <c r="I78" s="4" t="s">
        <v>36</v>
      </c>
    </row>
    <row r="79" customFormat="false" ht="15" hidden="false" customHeight="false" outlineLevel="0" collapsed="false">
      <c r="A79" s="6" t="n">
        <v>28</v>
      </c>
      <c r="B79" s="16" t="s">
        <v>51</v>
      </c>
      <c r="C79" s="17" t="n">
        <v>1.12</v>
      </c>
      <c r="D79" s="18" t="n">
        <v>0.96</v>
      </c>
      <c r="E79" s="19" t="n">
        <v>0.0752000000000002</v>
      </c>
      <c r="F79" s="20" t="n">
        <v>0.06</v>
      </c>
      <c r="G79" s="21" t="n">
        <f aca="false">IF($H79="",0,$F79*G77)</f>
        <v>0</v>
      </c>
      <c r="H79" s="22"/>
      <c r="I79" s="23" t="n">
        <f aca="false">IF($H79=1,$G79*$C79,0)</f>
        <v>0</v>
      </c>
    </row>
    <row r="80" customFormat="false" ht="15" hidden="false" customHeight="false" outlineLevel="0" collapsed="false">
      <c r="A80" s="24"/>
      <c r="B80" s="25" t="s">
        <v>38</v>
      </c>
      <c r="C80" s="24"/>
      <c r="D80" s="24"/>
      <c r="E80" s="24"/>
      <c r="F80" s="24"/>
      <c r="G80" s="26" t="n">
        <f aca="false">G79</f>
        <v>0</v>
      </c>
      <c r="H80" s="26" t="n">
        <f aca="false">I79</f>
        <v>0</v>
      </c>
      <c r="I80" s="27" t="n">
        <f aca="false">(I79)-(G79)</f>
        <v>0</v>
      </c>
    </row>
    <row r="81" customFormat="false" ht="15" hidden="false" customHeight="false" outlineLevel="0" collapsed="false">
      <c r="A81" s="24"/>
      <c r="B81" s="25" t="s">
        <v>39</v>
      </c>
      <c r="C81" s="24"/>
      <c r="D81" s="24"/>
      <c r="E81" s="24"/>
      <c r="F81" s="25" t="s">
        <v>40</v>
      </c>
      <c r="G81" s="24"/>
      <c r="H81" s="28" t="n">
        <f aca="false">IF(I80&gt;0,0.4*I80,0)</f>
        <v>0</v>
      </c>
      <c r="I81" s="29" t="n">
        <f aca="false">G77+I80-H81</f>
        <v>500</v>
      </c>
    </row>
    <row r="83" customFormat="false" ht="15" hidden="false" customHeight="false" outlineLevel="0" collapsed="false">
      <c r="A83" s="12" t="s">
        <v>74</v>
      </c>
      <c r="B83" s="13"/>
      <c r="C83" s="13"/>
      <c r="D83" s="13"/>
      <c r="E83" s="13"/>
      <c r="F83" s="14" t="s">
        <v>27</v>
      </c>
      <c r="G83" s="15" t="n">
        <f aca="false">I81</f>
        <v>500</v>
      </c>
      <c r="H83" s="13"/>
      <c r="I83" s="13"/>
    </row>
    <row r="84" customFormat="false" ht="15" hidden="false" customHeight="false" outlineLevel="0" collapsed="false">
      <c r="A84" s="4" t="s">
        <v>28</v>
      </c>
      <c r="B84" s="4" t="s">
        <v>29</v>
      </c>
      <c r="C84" s="4" t="s">
        <v>30</v>
      </c>
      <c r="D84" s="4" t="s">
        <v>31</v>
      </c>
      <c r="E84" s="4" t="s">
        <v>32</v>
      </c>
      <c r="F84" s="4" t="s">
        <v>33</v>
      </c>
      <c r="G84" s="4" t="s">
        <v>34</v>
      </c>
      <c r="H84" s="4" t="s">
        <v>35</v>
      </c>
      <c r="I84" s="4" t="s">
        <v>36</v>
      </c>
    </row>
    <row r="85" customFormat="false" ht="15" hidden="false" customHeight="false" outlineLevel="0" collapsed="false">
      <c r="A85" s="6" t="n">
        <v>30</v>
      </c>
      <c r="B85" s="16" t="s">
        <v>56</v>
      </c>
      <c r="C85" s="17" t="n">
        <v>1.27</v>
      </c>
      <c r="D85" s="18" t="n">
        <v>0.95</v>
      </c>
      <c r="E85" s="19" t="n">
        <v>0.2065</v>
      </c>
      <c r="F85" s="20" t="n">
        <v>0.06</v>
      </c>
      <c r="G85" s="21" t="n">
        <f aca="false">IF($H85="",0,$F85*G83)</f>
        <v>0</v>
      </c>
      <c r="H85" s="22"/>
      <c r="I85" s="23" t="n">
        <f aca="false">IF($H85=1,$G85*$C85,0)</f>
        <v>0</v>
      </c>
    </row>
    <row r="86" customFormat="false" ht="15" hidden="false" customHeight="false" outlineLevel="0" collapsed="false">
      <c r="A86" s="6" t="n">
        <v>31</v>
      </c>
      <c r="B86" s="16" t="s">
        <v>75</v>
      </c>
      <c r="C86" s="17" t="n">
        <v>1.32</v>
      </c>
      <c r="D86" s="18" t="n">
        <v>0.82</v>
      </c>
      <c r="E86" s="19" t="n">
        <v>0.0824</v>
      </c>
      <c r="F86" s="20" t="n">
        <v>0.06</v>
      </c>
      <c r="G86" s="21" t="n">
        <f aca="false">IF($H86="",0,$F86*G83)</f>
        <v>0</v>
      </c>
      <c r="H86" s="22"/>
      <c r="I86" s="23" t="n">
        <f aca="false">IF($H86=1,$G86*$C86,0)</f>
        <v>0</v>
      </c>
    </row>
    <row r="87" customFormat="false" ht="15" hidden="false" customHeight="false" outlineLevel="0" collapsed="false">
      <c r="A87" s="6" t="n">
        <v>32</v>
      </c>
      <c r="B87" s="16" t="s">
        <v>76</v>
      </c>
      <c r="C87" s="17" t="n">
        <v>1.5</v>
      </c>
      <c r="D87" s="18" t="n">
        <v>0.84</v>
      </c>
      <c r="E87" s="19" t="n">
        <v>0.26</v>
      </c>
      <c r="F87" s="20" t="n">
        <v>0.06</v>
      </c>
      <c r="G87" s="21" t="n">
        <f aca="false">IF($H87="",0,$F87*G83)</f>
        <v>0</v>
      </c>
      <c r="H87" s="22"/>
      <c r="I87" s="23" t="n">
        <f aca="false">IF($H87=1,$G87*$C87,0)</f>
        <v>0</v>
      </c>
    </row>
    <row r="88" customFormat="false" ht="15" hidden="false" customHeight="false" outlineLevel="0" collapsed="false">
      <c r="A88" s="6" t="n">
        <v>33</v>
      </c>
      <c r="B88" s="16" t="s">
        <v>58</v>
      </c>
      <c r="C88" s="17" t="n">
        <v>1.52</v>
      </c>
      <c r="D88" s="18" t="n">
        <v>0.75</v>
      </c>
      <c r="E88" s="19" t="n">
        <v>0.14</v>
      </c>
      <c r="F88" s="20" t="n">
        <v>0.06</v>
      </c>
      <c r="G88" s="21" t="n">
        <f aca="false">IF($H88="",0,$F88*G83)</f>
        <v>0</v>
      </c>
      <c r="H88" s="22"/>
      <c r="I88" s="23" t="n">
        <f aca="false">IF($H88=1,$G88*$C88,0)</f>
        <v>0</v>
      </c>
    </row>
    <row r="89" customFormat="false" ht="15" hidden="false" customHeight="false" outlineLevel="0" collapsed="false">
      <c r="A89" s="6" t="s">
        <v>44</v>
      </c>
      <c r="B89" s="30" t="s">
        <v>77</v>
      </c>
      <c r="C89" s="17" t="n">
        <v>3.82</v>
      </c>
      <c r="D89" s="31"/>
      <c r="E89" s="31"/>
      <c r="F89" s="20" t="n">
        <v>0.02</v>
      </c>
      <c r="G89" s="21" t="n">
        <f aca="false">IF($H89="",0,$F89*G83)</f>
        <v>0</v>
      </c>
      <c r="H89" s="32" t="str">
        <f aca="false">IF(COUNT(H85,H86,H87,H88)&lt;4,"",IF((H85+H86+H87+H88)=4,1,0))</f>
        <v/>
      </c>
      <c r="I89" s="23" t="n">
        <f aca="false">IF($H89=1,$G89*$C89,0)</f>
        <v>0</v>
      </c>
    </row>
    <row r="90" customFormat="false" ht="15" hidden="false" customHeight="false" outlineLevel="0" collapsed="false">
      <c r="A90" s="24"/>
      <c r="B90" s="25" t="s">
        <v>38</v>
      </c>
      <c r="C90" s="24"/>
      <c r="D90" s="24"/>
      <c r="E90" s="24"/>
      <c r="F90" s="24"/>
      <c r="G90" s="26" t="n">
        <f aca="false">G85+G86+G87+G88+G89</f>
        <v>0</v>
      </c>
      <c r="H90" s="26" t="n">
        <f aca="false">I85+I86+I87+I88+I89</f>
        <v>0</v>
      </c>
      <c r="I90" s="27" t="n">
        <f aca="false">(I85+I86+I87+I88+I89)-(G85+G86+G87+G88+G89)</f>
        <v>0</v>
      </c>
    </row>
    <row r="91" customFormat="false" ht="15" hidden="false" customHeight="false" outlineLevel="0" collapsed="false">
      <c r="A91" s="24"/>
      <c r="B91" s="25" t="s">
        <v>39</v>
      </c>
      <c r="C91" s="24"/>
      <c r="D91" s="24"/>
      <c r="E91" s="24"/>
      <c r="F91" s="25" t="s">
        <v>40</v>
      </c>
      <c r="G91" s="24"/>
      <c r="H91" s="28" t="n">
        <f aca="false">IF(I90&gt;0,0.4*I90,0)</f>
        <v>0</v>
      </c>
      <c r="I91" s="29" t="n">
        <f aca="false">G83+I90-H91</f>
        <v>500</v>
      </c>
    </row>
    <row r="93" customFormat="false" ht="15" hidden="false" customHeight="false" outlineLevel="0" collapsed="false">
      <c r="A93" s="12" t="s">
        <v>78</v>
      </c>
      <c r="B93" s="13"/>
      <c r="C93" s="13"/>
      <c r="D93" s="13"/>
      <c r="E93" s="13"/>
      <c r="F93" s="14" t="s">
        <v>27</v>
      </c>
      <c r="G93" s="15" t="n">
        <f aca="false">I91</f>
        <v>500</v>
      </c>
      <c r="H93" s="13"/>
      <c r="I93" s="13"/>
    </row>
    <row r="94" customFormat="false" ht="15" hidden="false" customHeight="false" outlineLevel="0" collapsed="false">
      <c r="A94" s="4" t="s">
        <v>28</v>
      </c>
      <c r="B94" s="4" t="s">
        <v>29</v>
      </c>
      <c r="C94" s="4" t="s">
        <v>30</v>
      </c>
      <c r="D94" s="4" t="s">
        <v>31</v>
      </c>
      <c r="E94" s="4" t="s">
        <v>32</v>
      </c>
      <c r="F94" s="4" t="s">
        <v>33</v>
      </c>
      <c r="G94" s="4" t="s">
        <v>34</v>
      </c>
      <c r="H94" s="4" t="s">
        <v>35</v>
      </c>
      <c r="I94" s="4" t="s">
        <v>36</v>
      </c>
    </row>
    <row r="95" customFormat="false" ht="15" hidden="false" customHeight="false" outlineLevel="0" collapsed="false">
      <c r="A95" s="6" t="n">
        <v>34</v>
      </c>
      <c r="B95" s="16" t="s">
        <v>64</v>
      </c>
      <c r="C95" s="17" t="n">
        <v>1.4</v>
      </c>
      <c r="D95" s="18" t="n">
        <v>0.92</v>
      </c>
      <c r="E95" s="19" t="n">
        <v>0.288</v>
      </c>
      <c r="F95" s="20" t="n">
        <v>0.06</v>
      </c>
      <c r="G95" s="21" t="n">
        <f aca="false">IF($H95="",0,$F95*G93)</f>
        <v>0</v>
      </c>
      <c r="H95" s="22"/>
      <c r="I95" s="23" t="n">
        <f aca="false">IF($H95=1,$G95*$C95,0)</f>
        <v>0</v>
      </c>
    </row>
    <row r="96" customFormat="false" ht="15" hidden="false" customHeight="false" outlineLevel="0" collapsed="false">
      <c r="A96" s="6" t="n">
        <v>35</v>
      </c>
      <c r="B96" s="16" t="s">
        <v>63</v>
      </c>
      <c r="C96" s="17" t="n">
        <v>1.26</v>
      </c>
      <c r="D96" s="18" t="n">
        <v>0.93</v>
      </c>
      <c r="E96" s="19" t="n">
        <v>0.1718</v>
      </c>
      <c r="F96" s="20" t="n">
        <v>0.06</v>
      </c>
      <c r="G96" s="21" t="n">
        <f aca="false">IF($H96="",0,$F96*G93)</f>
        <v>0</v>
      </c>
      <c r="H96" s="22"/>
      <c r="I96" s="23" t="n">
        <f aca="false">IF($H96=1,$G96*$C96,0)</f>
        <v>0</v>
      </c>
    </row>
    <row r="97" customFormat="false" ht="15" hidden="false" customHeight="false" outlineLevel="0" collapsed="false">
      <c r="A97" s="6" t="n">
        <v>36</v>
      </c>
      <c r="B97" s="16" t="s">
        <v>79</v>
      </c>
      <c r="C97" s="17" t="n">
        <v>1.27</v>
      </c>
      <c r="D97" s="18" t="n">
        <v>0.8</v>
      </c>
      <c r="E97" s="19" t="n">
        <v>0.016</v>
      </c>
      <c r="F97" s="20" t="n">
        <v>0.0385</v>
      </c>
      <c r="G97" s="21" t="n">
        <f aca="false">IF($H97="",0,$F97*G93)</f>
        <v>0</v>
      </c>
      <c r="H97" s="22"/>
      <c r="I97" s="23" t="n">
        <f aca="false">IF($H97=1,$G97*$C97,0)</f>
        <v>0</v>
      </c>
    </row>
    <row r="98" customFormat="false" ht="15" hidden="false" customHeight="false" outlineLevel="0" collapsed="false">
      <c r="A98" s="6" t="s">
        <v>44</v>
      </c>
      <c r="B98" s="30" t="s">
        <v>80</v>
      </c>
      <c r="C98" s="17" t="n">
        <v>2.24</v>
      </c>
      <c r="D98" s="31"/>
      <c r="E98" s="31"/>
      <c r="F98" s="20" t="n">
        <v>0.02</v>
      </c>
      <c r="G98" s="21" t="n">
        <f aca="false">IF($H98="",0,$F98*G93)</f>
        <v>0</v>
      </c>
      <c r="H98" s="32" t="str">
        <f aca="false">IF(COUNT(H95,H96,H97)&lt;3,"",IF((H95+H96+H97)=3,1,0))</f>
        <v/>
      </c>
      <c r="I98" s="23" t="n">
        <f aca="false">IF($H98=1,$G98*$C98,0)</f>
        <v>0</v>
      </c>
    </row>
    <row r="99" customFormat="false" ht="15" hidden="false" customHeight="false" outlineLevel="0" collapsed="false">
      <c r="A99" s="24"/>
      <c r="B99" s="25" t="s">
        <v>38</v>
      </c>
      <c r="C99" s="24"/>
      <c r="D99" s="24"/>
      <c r="E99" s="24"/>
      <c r="F99" s="24"/>
      <c r="G99" s="26" t="n">
        <f aca="false">G95+G96+G97+G98</f>
        <v>0</v>
      </c>
      <c r="H99" s="26" t="n">
        <f aca="false">I95+I96+I97+I98</f>
        <v>0</v>
      </c>
      <c r="I99" s="27" t="n">
        <f aca="false">(I95+I96+I97+I98)-(G95+G96+G97+G98)</f>
        <v>0</v>
      </c>
    </row>
    <row r="100" customFormat="false" ht="15" hidden="false" customHeight="false" outlineLevel="0" collapsed="false">
      <c r="A100" s="24"/>
      <c r="B100" s="25" t="s">
        <v>39</v>
      </c>
      <c r="C100" s="24"/>
      <c r="D100" s="24"/>
      <c r="E100" s="24"/>
      <c r="F100" s="25" t="s">
        <v>40</v>
      </c>
      <c r="G100" s="24"/>
      <c r="H100" s="28" t="n">
        <f aca="false">IF(I99&gt;0,0.4*I99,0)</f>
        <v>0</v>
      </c>
      <c r="I100" s="29" t="n">
        <f aca="false">G93+I99-H100</f>
        <v>500</v>
      </c>
    </row>
    <row r="102" customFormat="false" ht="15" hidden="false" customHeight="false" outlineLevel="0" collapsed="false">
      <c r="A102" s="12" t="s">
        <v>81</v>
      </c>
      <c r="B102" s="13"/>
      <c r="C102" s="13"/>
      <c r="D102" s="13"/>
      <c r="E102" s="13"/>
      <c r="F102" s="14" t="s">
        <v>27</v>
      </c>
      <c r="G102" s="15" t="n">
        <f aca="false">I100</f>
        <v>500</v>
      </c>
      <c r="H102" s="13"/>
      <c r="I102" s="13"/>
    </row>
    <row r="103" customFormat="false" ht="15" hidden="false" customHeight="false" outlineLevel="0" collapsed="false">
      <c r="A103" s="4" t="s">
        <v>28</v>
      </c>
      <c r="B103" s="4" t="s">
        <v>29</v>
      </c>
      <c r="C103" s="4" t="s">
        <v>30</v>
      </c>
      <c r="D103" s="4" t="s">
        <v>31</v>
      </c>
      <c r="E103" s="4" t="s">
        <v>32</v>
      </c>
      <c r="F103" s="4" t="s">
        <v>33</v>
      </c>
      <c r="G103" s="4" t="s">
        <v>34</v>
      </c>
      <c r="H103" s="4" t="s">
        <v>35</v>
      </c>
      <c r="I103" s="4" t="s">
        <v>36</v>
      </c>
    </row>
    <row r="104" customFormat="false" ht="15" hidden="false" customHeight="false" outlineLevel="0" collapsed="false">
      <c r="A104" s="6" t="n">
        <v>37</v>
      </c>
      <c r="B104" s="16" t="s">
        <v>82</v>
      </c>
      <c r="C104" s="17" t="n">
        <v>1.34</v>
      </c>
      <c r="D104" s="18" t="n">
        <v>0.84</v>
      </c>
      <c r="E104" s="19" t="n">
        <v>0.1256</v>
      </c>
      <c r="F104" s="20" t="n">
        <v>0.06</v>
      </c>
      <c r="G104" s="21" t="n">
        <f aca="false">IF($H104="",0,$F104*G102)</f>
        <v>0</v>
      </c>
      <c r="H104" s="22"/>
      <c r="I104" s="23" t="n">
        <f aca="false">IF($H104=1,$G104*$C104,0)</f>
        <v>0</v>
      </c>
    </row>
    <row r="105" customFormat="false" ht="15" hidden="false" customHeight="false" outlineLevel="0" collapsed="false">
      <c r="A105" s="24"/>
      <c r="B105" s="25" t="s">
        <v>38</v>
      </c>
      <c r="C105" s="24"/>
      <c r="D105" s="24"/>
      <c r="E105" s="24"/>
      <c r="F105" s="24"/>
      <c r="G105" s="26" t="n">
        <f aca="false">G104</f>
        <v>0</v>
      </c>
      <c r="H105" s="26" t="n">
        <f aca="false">I104</f>
        <v>0</v>
      </c>
      <c r="I105" s="27" t="n">
        <f aca="false">(I104)-(G104)</f>
        <v>0</v>
      </c>
    </row>
    <row r="106" customFormat="false" ht="15" hidden="false" customHeight="false" outlineLevel="0" collapsed="false">
      <c r="A106" s="24"/>
      <c r="B106" s="25" t="s">
        <v>39</v>
      </c>
      <c r="C106" s="24"/>
      <c r="D106" s="24"/>
      <c r="E106" s="24"/>
      <c r="F106" s="25" t="s">
        <v>40</v>
      </c>
      <c r="G106" s="24"/>
      <c r="H106" s="28" t="n">
        <f aca="false">IF(I105&gt;0,0.4*I105,0)</f>
        <v>0</v>
      </c>
      <c r="I106" s="29" t="n">
        <f aca="false">G102+I105-H106</f>
        <v>500</v>
      </c>
    </row>
    <row r="108" customFormat="false" ht="15" hidden="false" customHeight="false" outlineLevel="0" collapsed="false">
      <c r="A108" s="12" t="s">
        <v>83</v>
      </c>
      <c r="B108" s="13"/>
      <c r="C108" s="13"/>
      <c r="D108" s="13"/>
      <c r="E108" s="13"/>
      <c r="F108" s="14" t="s">
        <v>27</v>
      </c>
      <c r="G108" s="15" t="n">
        <f aca="false">I106</f>
        <v>500</v>
      </c>
      <c r="H108" s="13"/>
      <c r="I108" s="13"/>
    </row>
    <row r="109" customFormat="false" ht="15" hidden="false" customHeight="false" outlineLevel="0" collapsed="false">
      <c r="A109" s="4" t="s">
        <v>28</v>
      </c>
      <c r="B109" s="4" t="s">
        <v>29</v>
      </c>
      <c r="C109" s="4" t="s">
        <v>30</v>
      </c>
      <c r="D109" s="4" t="s">
        <v>31</v>
      </c>
      <c r="E109" s="4" t="s">
        <v>32</v>
      </c>
      <c r="F109" s="4" t="s">
        <v>33</v>
      </c>
      <c r="G109" s="4" t="s">
        <v>34</v>
      </c>
      <c r="H109" s="4" t="s">
        <v>35</v>
      </c>
      <c r="I109" s="4" t="s">
        <v>36</v>
      </c>
    </row>
    <row r="110" customFormat="false" ht="15" hidden="false" customHeight="false" outlineLevel="0" collapsed="false">
      <c r="A110" s="6" t="n">
        <v>38</v>
      </c>
      <c r="B110" s="16" t="s">
        <v>84</v>
      </c>
      <c r="C110" s="17" t="n">
        <v>1.47</v>
      </c>
      <c r="D110" s="18" t="n">
        <v>0.73</v>
      </c>
      <c r="E110" s="19" t="n">
        <v>0.0730999999999999</v>
      </c>
      <c r="F110" s="20" t="n">
        <v>0.06</v>
      </c>
      <c r="G110" s="21" t="n">
        <f aca="false">IF($H110="",0,$F110*G108)</f>
        <v>0</v>
      </c>
      <c r="H110" s="22"/>
      <c r="I110" s="23" t="n">
        <f aca="false">IF($H110=1,$G110*$C110,0)</f>
        <v>0</v>
      </c>
    </row>
    <row r="111" customFormat="false" ht="15" hidden="false" customHeight="false" outlineLevel="0" collapsed="false">
      <c r="A111" s="6" t="n">
        <v>39</v>
      </c>
      <c r="B111" s="16" t="s">
        <v>69</v>
      </c>
      <c r="C111" s="17" t="n">
        <v>1.3</v>
      </c>
      <c r="D111" s="18" t="n">
        <v>0.86</v>
      </c>
      <c r="E111" s="19" t="n">
        <v>0.118</v>
      </c>
      <c r="F111" s="20" t="n">
        <v>0.06</v>
      </c>
      <c r="G111" s="21" t="n">
        <f aca="false">IF($H111="",0,$F111*G108)</f>
        <v>0</v>
      </c>
      <c r="H111" s="22"/>
      <c r="I111" s="23" t="n">
        <f aca="false">IF($H111=1,$G111*$C111,0)</f>
        <v>0</v>
      </c>
    </row>
    <row r="112" customFormat="false" ht="15" hidden="false" customHeight="false" outlineLevel="0" collapsed="false">
      <c r="A112" s="6" t="s">
        <v>44</v>
      </c>
      <c r="B112" s="30" t="s">
        <v>85</v>
      </c>
      <c r="C112" s="17" t="n">
        <v>1.91</v>
      </c>
      <c r="D112" s="31"/>
      <c r="E112" s="31"/>
      <c r="F112" s="20" t="n">
        <v>0.02</v>
      </c>
      <c r="G112" s="21" t="n">
        <f aca="false">IF($H112="",0,$F112*G108)</f>
        <v>0</v>
      </c>
      <c r="H112" s="32" t="str">
        <f aca="false">IF(COUNT(H110,H111)&lt;2,"",IF((H110+H111)=2,1,0))</f>
        <v/>
      </c>
      <c r="I112" s="23" t="n">
        <f aca="false">IF($H112=1,$G112*$C112,0)</f>
        <v>0</v>
      </c>
    </row>
    <row r="113" customFormat="false" ht="15" hidden="false" customHeight="false" outlineLevel="0" collapsed="false">
      <c r="A113" s="24"/>
      <c r="B113" s="25" t="s">
        <v>38</v>
      </c>
      <c r="C113" s="24"/>
      <c r="D113" s="24"/>
      <c r="E113" s="24"/>
      <c r="F113" s="24"/>
      <c r="G113" s="26" t="n">
        <f aca="false">G110+G111+G112</f>
        <v>0</v>
      </c>
      <c r="H113" s="26" t="n">
        <f aca="false">I110+I111+I112</f>
        <v>0</v>
      </c>
      <c r="I113" s="27" t="n">
        <f aca="false">(I110+I111+I112)-(G110+G111+G112)</f>
        <v>0</v>
      </c>
    </row>
    <row r="114" customFormat="false" ht="15" hidden="false" customHeight="false" outlineLevel="0" collapsed="false">
      <c r="A114" s="24"/>
      <c r="B114" s="25" t="s">
        <v>39</v>
      </c>
      <c r="C114" s="24"/>
      <c r="D114" s="24"/>
      <c r="E114" s="24"/>
      <c r="F114" s="25" t="s">
        <v>40</v>
      </c>
      <c r="G114" s="24"/>
      <c r="H114" s="28" t="n">
        <f aca="false">IF(I113&gt;0,0.4*I113,0)</f>
        <v>0</v>
      </c>
      <c r="I114" s="29" t="n">
        <f aca="false">G108+I113-H114</f>
        <v>500</v>
      </c>
    </row>
    <row r="116" customFormat="false" ht="15" hidden="false" customHeight="false" outlineLevel="0" collapsed="false">
      <c r="A116" s="12" t="s">
        <v>86</v>
      </c>
      <c r="B116" s="13"/>
      <c r="C116" s="13"/>
      <c r="D116" s="13"/>
      <c r="E116" s="13"/>
      <c r="F116" s="14" t="s">
        <v>27</v>
      </c>
      <c r="G116" s="15" t="n">
        <f aca="false">I114</f>
        <v>500</v>
      </c>
      <c r="H116" s="13"/>
      <c r="I116" s="13"/>
    </row>
    <row r="117" customFormat="false" ht="15" hidden="false" customHeight="false" outlineLevel="0" collapsed="false">
      <c r="A117" s="4" t="s">
        <v>28</v>
      </c>
      <c r="B117" s="4" t="s">
        <v>29</v>
      </c>
      <c r="C117" s="4" t="s">
        <v>30</v>
      </c>
      <c r="D117" s="4" t="s">
        <v>31</v>
      </c>
      <c r="E117" s="4" t="s">
        <v>32</v>
      </c>
      <c r="F117" s="4" t="s">
        <v>33</v>
      </c>
      <c r="G117" s="4" t="s">
        <v>34</v>
      </c>
      <c r="H117" s="4" t="s">
        <v>35</v>
      </c>
      <c r="I117" s="4" t="s">
        <v>36</v>
      </c>
    </row>
    <row r="118" customFormat="false" ht="15" hidden="false" customHeight="false" outlineLevel="0" collapsed="false">
      <c r="A118" s="6" t="n">
        <v>40</v>
      </c>
      <c r="B118" s="16" t="s">
        <v>75</v>
      </c>
      <c r="C118" s="17" t="n">
        <v>1.2</v>
      </c>
      <c r="D118" s="18" t="n">
        <v>0.95</v>
      </c>
      <c r="E118" s="19" t="n">
        <v>0.14</v>
      </c>
      <c r="F118" s="20" t="n">
        <v>0.06</v>
      </c>
      <c r="G118" s="21" t="n">
        <f aca="false">IF($H118="",0,$F118*G116)</f>
        <v>0</v>
      </c>
      <c r="H118" s="22"/>
      <c r="I118" s="23" t="n">
        <f aca="false">IF($H118=1,$G118*$C118,0)</f>
        <v>0</v>
      </c>
    </row>
    <row r="119" customFormat="false" ht="15" hidden="false" customHeight="false" outlineLevel="0" collapsed="false">
      <c r="A119" s="6" t="n">
        <v>41</v>
      </c>
      <c r="B119" s="16" t="s">
        <v>87</v>
      </c>
      <c r="C119" s="17" t="n">
        <v>1.2</v>
      </c>
      <c r="D119" s="18" t="n">
        <v>0.91</v>
      </c>
      <c r="E119" s="19" t="n">
        <v>0.0920000000000001</v>
      </c>
      <c r="F119" s="20" t="n">
        <v>0.06</v>
      </c>
      <c r="G119" s="21" t="n">
        <f aca="false">IF($H119="",0,$F119*G116)</f>
        <v>0</v>
      </c>
      <c r="H119" s="22"/>
      <c r="I119" s="23" t="n">
        <f aca="false">IF($H119=1,$G119*$C119,0)</f>
        <v>0</v>
      </c>
    </row>
    <row r="120" customFormat="false" ht="15" hidden="false" customHeight="false" outlineLevel="0" collapsed="false">
      <c r="A120" s="6" t="s">
        <v>44</v>
      </c>
      <c r="B120" s="30" t="s">
        <v>88</v>
      </c>
      <c r="C120" s="17" t="n">
        <v>1.44</v>
      </c>
      <c r="D120" s="31"/>
      <c r="E120" s="31"/>
      <c r="F120" s="20" t="n">
        <v>0.02</v>
      </c>
      <c r="G120" s="21" t="n">
        <f aca="false">IF($H120="",0,$F120*G116)</f>
        <v>0</v>
      </c>
      <c r="H120" s="32" t="str">
        <f aca="false">IF(COUNT(H118,H119)&lt;2,"",IF((H118+H119)=2,1,0))</f>
        <v/>
      </c>
      <c r="I120" s="23" t="n">
        <f aca="false">IF($H120=1,$G120*$C120,0)</f>
        <v>0</v>
      </c>
    </row>
    <row r="121" customFormat="false" ht="15" hidden="false" customHeight="false" outlineLevel="0" collapsed="false">
      <c r="A121" s="24"/>
      <c r="B121" s="25" t="s">
        <v>38</v>
      </c>
      <c r="C121" s="24"/>
      <c r="D121" s="24"/>
      <c r="E121" s="24"/>
      <c r="F121" s="24"/>
      <c r="G121" s="26" t="n">
        <f aca="false">G118+G119+G120</f>
        <v>0</v>
      </c>
      <c r="H121" s="26" t="n">
        <f aca="false">I118+I119+I120</f>
        <v>0</v>
      </c>
      <c r="I121" s="27" t="n">
        <f aca="false">(I118+I119+I120)-(G118+G119+G120)</f>
        <v>0</v>
      </c>
    </row>
    <row r="122" customFormat="false" ht="15" hidden="false" customHeight="false" outlineLevel="0" collapsed="false">
      <c r="A122" s="24"/>
      <c r="B122" s="25" t="s">
        <v>39</v>
      </c>
      <c r="C122" s="24"/>
      <c r="D122" s="24"/>
      <c r="E122" s="24"/>
      <c r="F122" s="25" t="s">
        <v>40</v>
      </c>
      <c r="G122" s="24"/>
      <c r="H122" s="28" t="n">
        <f aca="false">IF(I121&gt;0,0.4*I121,0)</f>
        <v>0</v>
      </c>
      <c r="I122" s="29" t="n">
        <f aca="false">G116+I121-H122</f>
        <v>500</v>
      </c>
    </row>
    <row r="124" customFormat="false" ht="15" hidden="false" customHeight="false" outlineLevel="0" collapsed="false">
      <c r="A124" s="24"/>
      <c r="B124" s="33" t="s">
        <v>89</v>
      </c>
      <c r="C124" s="24"/>
      <c r="D124" s="24"/>
      <c r="E124" s="24"/>
      <c r="F124" s="24"/>
      <c r="G124" s="24"/>
      <c r="H124" s="24"/>
      <c r="I124" s="34" t="n">
        <f aca="false">I122</f>
        <v>500</v>
      </c>
    </row>
    <row r="125" customFormat="false" ht="15" hidden="false" customHeight="false" outlineLevel="0" collapsed="false">
      <c r="A125" s="24"/>
      <c r="B125" s="33" t="s">
        <v>90</v>
      </c>
      <c r="C125" s="24"/>
      <c r="D125" s="24"/>
      <c r="E125" s="24"/>
      <c r="F125" s="24"/>
      <c r="G125" s="24"/>
      <c r="H125" s="24"/>
      <c r="I125" s="29" t="n">
        <f aca="false">H8+H16+H22+H28+H37+H46+H52+H60+H66+H75+H81+H91+H100+H106+H114+H122</f>
        <v>0</v>
      </c>
    </row>
    <row r="126" customFormat="false" ht="15" hidden="false" customHeight="false" outlineLevel="0" collapsed="false">
      <c r="A126" s="35"/>
      <c r="B126" s="36" t="s">
        <v>91</v>
      </c>
      <c r="C126" s="35"/>
      <c r="D126" s="35"/>
      <c r="E126" s="35"/>
      <c r="F126" s="35"/>
      <c r="G126" s="35"/>
      <c r="H126" s="35"/>
      <c r="I126" s="37" t="n">
        <f aca="false">I122+H8+H16+H22+H28+H37+H46+H52+H60+H66+H75+H81+H91+H100+H106+H114+H122</f>
        <v>500</v>
      </c>
    </row>
    <row r="128" customFormat="false" ht="15" hidden="false" customHeight="false" outlineLevel="0" collapsed="false">
      <c r="B128" s="38" t="s">
        <v>92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39" t="s">
        <v>93</v>
      </c>
    </row>
    <row r="3" customFormat="false" ht="15" hidden="false" customHeight="false" outlineLevel="0" collapsed="false">
      <c r="A3" s="3" t="s">
        <v>94</v>
      </c>
    </row>
    <row r="4" customFormat="false" ht="15" hidden="false" customHeight="false" outlineLevel="0" collapsed="false">
      <c r="A4" s="8" t="s">
        <v>95</v>
      </c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8" t="s">
        <v>96</v>
      </c>
      <c r="B5" s="8"/>
      <c r="C5" s="8"/>
      <c r="D5" s="8"/>
      <c r="E5" s="8"/>
      <c r="F5" s="8"/>
      <c r="G5" s="8"/>
    </row>
    <row r="6" customFormat="false" ht="15" hidden="false" customHeight="false" outlineLevel="0" collapsed="false">
      <c r="A6" s="8" t="s">
        <v>97</v>
      </c>
      <c r="B6" s="8"/>
      <c r="C6" s="8"/>
      <c r="D6" s="8"/>
      <c r="E6" s="8"/>
      <c r="F6" s="8"/>
      <c r="G6" s="8"/>
    </row>
    <row r="8" customFormat="false" ht="15" hidden="false" customHeight="false" outlineLevel="0" collapsed="false">
      <c r="A8" s="3" t="s">
        <v>98</v>
      </c>
    </row>
    <row r="9" customFormat="false" ht="15" hidden="false" customHeight="false" outlineLevel="0" collapsed="false">
      <c r="A9" s="40" t="s">
        <v>99</v>
      </c>
      <c r="B9" s="11" t="n">
        <v>1000</v>
      </c>
    </row>
    <row r="10" customFormat="false" ht="15" hidden="false" customHeight="false" outlineLevel="0" collapsed="false">
      <c r="A10" s="40" t="s">
        <v>100</v>
      </c>
      <c r="B10" s="41" t="n">
        <v>2.5</v>
      </c>
    </row>
    <row r="11" customFormat="false" ht="15" hidden="false" customHeight="false" outlineLevel="0" collapsed="false">
      <c r="A11" s="40" t="s">
        <v>101</v>
      </c>
      <c r="B11" s="11" t="n">
        <v>20</v>
      </c>
    </row>
    <row r="12" customFormat="false" ht="15" hidden="false" customHeight="false" outlineLevel="0" collapsed="false">
      <c r="A12" s="3" t="s">
        <v>102</v>
      </c>
      <c r="B12" s="42" t="n">
        <f aca="false">B9/B10</f>
        <v>400</v>
      </c>
    </row>
    <row r="13" customFormat="false" ht="15" hidden="false" customHeight="false" outlineLevel="0" collapsed="false">
      <c r="A13" s="3" t="s">
        <v>103</v>
      </c>
      <c r="B13" s="42" t="n">
        <f aca="false">B9*(1-1/B10)-B11</f>
        <v>580</v>
      </c>
    </row>
  </sheetData>
  <mergeCells count="3">
    <mergeCell ref="A4:G4"/>
    <mergeCell ref="A5:G5"/>
    <mergeCell ref="A6:G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2026-06-04T22:53:26Z</dcterms:created>
  <dc:creator>openpyxl</dc:creator>
  <dc:description/>
  <dc:language>en-US</dc:language>
  <cp:lastModifiedBy/>
  <dcterms:modified xsi:type="dcterms:W3CDTF">2026-06-04T22:53:26Z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