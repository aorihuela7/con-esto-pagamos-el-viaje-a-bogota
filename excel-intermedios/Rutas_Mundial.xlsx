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utas" sheetId="2" state="visible" r:id="rId4"/>
    <sheet name="Cashout y Hed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<sst xmlns="http://schemas.openxmlformats.org/spreadsheetml/2006/main" count="178" uniqueCount="99">
  <si>
    <t xml:space="preserve">RUTAS — Mundial 2026</t>
  </si>
  <si>
    <t xml:space="preserve">6 escaleras de apuestas encadenadas · banca total S/120 · cobra (cashout) cuando la ruta llegue a su pata recomendada</t>
  </si>
  <si>
    <t xml:space="preserve">¿Cómo funciona?</t>
  </si>
  <si>
    <t xml:space="preserve">•  Cada RUTA es una combinada que vas armando partido a partido. Empiezas apostando S/20 en la 1ra pata.</t>
  </si>
  <si>
    <t xml:space="preserve">•  Si gana, la ganancia rueda automáticamente a la siguiente pata (no agregas dinero nuevo).</t>
  </si>
  <si>
    <t xml:space="preserve">•  La columna 'Si cierras aquí' te dice cuánto cobras si haces cashout en esa pata.</t>
  </si>
  <si>
    <t xml:space="preserve">•  La zona dorada = pata recomendada para cobrar (donde la probabilidad de seguir vivo aún es ≈50% o más).</t>
  </si>
  <si>
    <t xml:space="preserve">•  Marca 1 (ganó) o 0 (perdió) en la columna ¿Ganó? a medida que se juegan. El Estado se actualiza solo.</t>
  </si>
  <si>
    <t xml:space="preserve">•  Si una ruta muere temprano, las otras 5 siguen vivas — por eso se diversifica en 6 rutas paralelas.</t>
  </si>
  <si>
    <t xml:space="preserve">•  Total arriesgado fijo: S/120 (S/20 × 6). No puedes perder más que eso.</t>
  </si>
  <si>
    <t xml:space="preserve">Expectativa del portafolio (200k simulaciones, cobrando en la pata recomendada)</t>
  </si>
  <si>
    <t xml:space="preserve">Métrica</t>
  </si>
  <si>
    <t xml:space="preserve">Con TUS probabilidades</t>
  </si>
  <si>
    <t xml:space="preserve">Con prob. de mercado</t>
  </si>
  <si>
    <t xml:space="preserve">Arriesgado total</t>
  </si>
  <si>
    <t xml:space="preserve">S/ 120</t>
  </si>
  <si>
    <t xml:space="preserve">Retorno promedio</t>
  </si>
  <si>
    <t xml:space="preserve">S/ 215</t>
  </si>
  <si>
    <t xml:space="preserve">Neto promedio</t>
  </si>
  <si>
    <t xml:space="preserve">S/ +95</t>
  </si>
  <si>
    <t xml:space="preserve">S/ +0</t>
  </si>
  <si>
    <t xml:space="preserve">P(alguna ruta cobra)</t>
  </si>
  <si>
    <t xml:space="preserve">99 %</t>
  </si>
  <si>
    <t xml:space="preserve">89 %</t>
  </si>
  <si>
    <t xml:space="preserve">P(ronda rentable)</t>
  </si>
  <si>
    <t xml:space="preserve">53 %</t>
  </si>
  <si>
    <t xml:space="preserve">Escenario malo (P10)</t>
  </si>
  <si>
    <t xml:space="preserve">S/ -1</t>
  </si>
  <si>
    <t xml:space="preserve">S/ -120</t>
  </si>
  <si>
    <t xml:space="preserve">Escenario bueno (P90)</t>
  </si>
  <si>
    <t xml:space="preserve">S/ +215</t>
  </si>
  <si>
    <t xml:space="preserve">S/ +90</t>
  </si>
  <si>
    <t xml:space="preserve">Nota: con probabilidades de mercado el neto es ≈0 (es lo justo). El borde positivo depende de que tus probabilidades sean reales. Trátalo como apuesta de entretenimiento, no inversión.</t>
  </si>
  <si>
    <t xml:space="preserve">RUTA 1   ·   apuesta inicial S/ 20   ·   pata recomendada para cobrar: #4</t>
  </si>
  <si>
    <t xml:space="preserve">Pata</t>
  </si>
  <si>
    <t xml:space="preserve">Fecha</t>
  </si>
  <si>
    <t xml:space="preserve">Pick</t>
  </si>
  <si>
    <t xml:space="preserve">Cuota</t>
  </si>
  <si>
    <t xml:space="preserve">Mi P</t>
  </si>
  <si>
    <t xml:space="preserve">Mult</t>
  </si>
  <si>
    <t xml:space="preserve">Vivo %</t>
  </si>
  <si>
    <t xml:space="preserve">Si cierras S/</t>
  </si>
  <si>
    <t xml:space="preserve">¿Ganó? (1/0)</t>
  </si>
  <si>
    <t xml:space="preserve">Estado</t>
  </si>
  <si>
    <t xml:space="preserve">16/06</t>
  </si>
  <si>
    <t xml:space="preserve">Noruega gana</t>
  </si>
  <si>
    <t xml:space="preserve">18/06</t>
  </si>
  <si>
    <t xml:space="preserve">Rep.Checa 1X</t>
  </si>
  <si>
    <t xml:space="preserve">19/06</t>
  </si>
  <si>
    <t xml:space="preserve">Marruecos gana</t>
  </si>
  <si>
    <t xml:space="preserve">26/06</t>
  </si>
  <si>
    <t xml:space="preserve">Bélgica gana</t>
  </si>
  <si>
    <t xml:space="preserve">Senegal gana</t>
  </si>
  <si>
    <t xml:space="preserve">← cobro en pata recom.</t>
  </si>
  <si>
    <t xml:space="preserve">RUTA 2   ·   apuesta inicial S/ 20   ·   pata recomendada para cobrar: #3</t>
  </si>
  <si>
    <t xml:space="preserve">13/06</t>
  </si>
  <si>
    <t xml:space="preserve">Turquía gana</t>
  </si>
  <si>
    <t xml:space="preserve">Brasil gana</t>
  </si>
  <si>
    <t xml:space="preserve">21/06</t>
  </si>
  <si>
    <t xml:space="preserve">Uruguay gana</t>
  </si>
  <si>
    <t xml:space="preserve">25/06</t>
  </si>
  <si>
    <t xml:space="preserve">C.Marfil gana</t>
  </si>
  <si>
    <t xml:space="preserve">RUTA 3   ·   apuesta inicial S/ 20   ·   pata recomendada para cobrar: #4</t>
  </si>
  <si>
    <t xml:space="preserve">Austria gana</t>
  </si>
  <si>
    <t xml:space="preserve">Francia gana</t>
  </si>
  <si>
    <t xml:space="preserve">17/06</t>
  </si>
  <si>
    <t xml:space="preserve">Colombia gana</t>
  </si>
  <si>
    <t xml:space="preserve">22/06</t>
  </si>
  <si>
    <t xml:space="preserve">27/06</t>
  </si>
  <si>
    <t xml:space="preserve">Inglaterra gana</t>
  </si>
  <si>
    <t xml:space="preserve">RUTA 4   ·   apuesta inicial S/ 20   ·   pata recomendada para cobrar: #5</t>
  </si>
  <si>
    <t xml:space="preserve">Suiza gana</t>
  </si>
  <si>
    <t xml:space="preserve">15/06</t>
  </si>
  <si>
    <t xml:space="preserve">España gana</t>
  </si>
  <si>
    <t xml:space="preserve">Egipto 2X</t>
  </si>
  <si>
    <t xml:space="preserve">23/06</t>
  </si>
  <si>
    <t xml:space="preserve">24/06</t>
  </si>
  <si>
    <t xml:space="preserve">RUTA 5   ·   apuesta inicial S/ 20   ·   pata recomendada para cobrar: #4</t>
  </si>
  <si>
    <t xml:space="preserve">Ghana 1X</t>
  </si>
  <si>
    <t xml:space="preserve">Croacia gana</t>
  </si>
  <si>
    <t xml:space="preserve">Argentina gana</t>
  </si>
  <si>
    <t xml:space="preserve">RUTA 6   ·   apuesta inicial S/ 20   ·   pata recomendada para cobrar: #5</t>
  </si>
  <si>
    <t xml:space="preserve">11/06</t>
  </si>
  <si>
    <t xml:space="preserve">México gana</t>
  </si>
  <si>
    <t xml:space="preserve">14/06</t>
  </si>
  <si>
    <t xml:space="preserve">Alemania gana</t>
  </si>
  <si>
    <t xml:space="preserve">Portugal gana</t>
  </si>
  <si>
    <t xml:space="preserve">20/06</t>
  </si>
  <si>
    <t xml:space="preserve">Ecuador gana</t>
  </si>
  <si>
    <t xml:space="preserve">Calculadora de Cobertura (Hedge)</t>
  </si>
  <si>
    <t xml:space="preserve">¿Tu ruta está viva y queda 1 pata? Apuesta al rival para asegurar ganancia pase lo que pase.</t>
  </si>
  <si>
    <t xml:space="preserve">Ingresa tus datos (celdas amarillas)</t>
  </si>
  <si>
    <t xml:space="preserve">Ganancia potencial si ganas (W = mult acum × S/20)</t>
  </si>
  <si>
    <t xml:space="preserve">Cuota del resultado CONTRARIO (la última pata)</t>
  </si>
  <si>
    <t xml:space="preserve">Resultado</t>
  </si>
  <si>
    <t xml:space="preserve">Monto a apostar al contrario (hedge = W / cuota)</t>
  </si>
  <si>
    <t xml:space="preserve">Ganancia asegurada si gana la ruta</t>
  </si>
  <si>
    <t xml:space="preserve">Ganancia asegurada si gana el contrario</t>
  </si>
  <si>
    <t xml:space="preserve">Si las dos 'ganancias aseguradas' son positivas, tienes profit garantizado sin importar el resultado. Compara siempre contra el cashout que ofrece la casa.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</si>
</sst>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0.00\x"/>
    <numFmt numFmtId="168" formatCode="&quot;S/ &quot;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BF9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DEBF7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2CC"/>
        <bgColor rgb="FFFFFDE7"/>
      </patternFill>
    </fill>
    <fill>
      <patternFill patternType="solid">
        <fgColor rgb="FFC6EFCE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5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15.75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15.75" hidden="false" customHeight="true" outlineLevel="0" collapsed="false">
      <c r="B7" s="4" t="s">
        <v>4</v>
      </c>
      <c r="C7" s="4"/>
      <c r="D7" s="4"/>
      <c r="E7" s="4"/>
      <c r="F7" s="4"/>
      <c r="G7" s="4"/>
    </row>
    <row r="8" customFormat="false" ht="15.75" hidden="false" customHeight="true" outlineLevel="0" collapsed="false">
      <c r="B8" s="4" t="s">
        <v>5</v>
      </c>
      <c r="C8" s="4"/>
      <c r="D8" s="4"/>
      <c r="E8" s="4"/>
      <c r="F8" s="4"/>
      <c r="G8" s="4"/>
    </row>
    <row r="9" customFormat="false" ht="15.75" hidden="false" customHeight="true" outlineLevel="0" collapsed="false">
      <c r="B9" s="4" t="s">
        <v>6</v>
      </c>
      <c r="C9" s="4"/>
      <c r="D9" s="4"/>
      <c r="E9" s="4"/>
      <c r="F9" s="4"/>
      <c r="G9" s="4"/>
    </row>
    <row r="10" customFormat="false" ht="15.7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15.75" hidden="false" customHeight="true" outlineLevel="0" collapsed="false">
      <c r="B11" s="4" t="s">
        <v>8</v>
      </c>
      <c r="C11" s="4"/>
      <c r="D11" s="4"/>
      <c r="E11" s="4"/>
      <c r="F11" s="4"/>
      <c r="G11" s="4"/>
    </row>
    <row r="12" customFormat="false" ht="15.75" hidden="false" customHeight="true" outlineLevel="0" collapsed="false">
      <c r="B12" s="4" t="s">
        <v>9</v>
      </c>
      <c r="C12" s="4"/>
      <c r="D12" s="4"/>
      <c r="E12" s="4"/>
      <c r="F12" s="4"/>
      <c r="G12" s="4"/>
    </row>
    <row r="14" customFormat="false" ht="15" hidden="false" customHeight="true" outlineLevel="0" collapsed="false">
      <c r="B14" s="3" t="s">
        <v>10</v>
      </c>
      <c r="C14" s="3"/>
      <c r="D14" s="3"/>
      <c r="E14" s="3"/>
      <c r="F14" s="3"/>
      <c r="G14" s="3"/>
    </row>
    <row r="15" customFormat="false" ht="23.85" hidden="false" customHeight="false" outlineLevel="0" collapsed="false">
      <c r="B15" s="5" t="s">
        <v>11</v>
      </c>
      <c r="C15" s="5" t="s">
        <v>12</v>
      </c>
      <c r="D15" s="5" t="s">
        <v>13</v>
      </c>
    </row>
    <row r="16" customFormat="false" ht="15" hidden="false" customHeight="false" outlineLevel="0" collapsed="false">
      <c r="B16" s="6" t="s">
        <v>14</v>
      </c>
      <c r="C16" s="7" t="s">
        <v>15</v>
      </c>
      <c r="D16" s="7" t="s">
        <v>15</v>
      </c>
    </row>
    <row r="17" customFormat="false" ht="15" hidden="false" customHeight="false" outlineLevel="0" collapsed="false">
      <c r="B17" s="8" t="s">
        <v>16</v>
      </c>
      <c r="C17" s="9" t="s">
        <v>17</v>
      </c>
      <c r="D17" s="9" t="s">
        <v>15</v>
      </c>
    </row>
    <row r="18" customFormat="false" ht="15" hidden="false" customHeight="false" outlineLevel="0" collapsed="false">
      <c r="B18" s="6" t="s">
        <v>18</v>
      </c>
      <c r="C18" s="7" t="s">
        <v>19</v>
      </c>
      <c r="D18" s="7" t="s">
        <v>20</v>
      </c>
    </row>
    <row r="19" customFormat="false" ht="15" hidden="false" customHeight="false" outlineLevel="0" collapsed="false">
      <c r="B19" s="8" t="s">
        <v>21</v>
      </c>
      <c r="C19" s="9" t="s">
        <v>22</v>
      </c>
      <c r="D19" s="9" t="s">
        <v>23</v>
      </c>
    </row>
    <row r="20" customFormat="false" ht="15" hidden="false" customHeight="false" outlineLevel="0" collapsed="false">
      <c r="B20" s="6" t="s">
        <v>24</v>
      </c>
      <c r="C20" s="7" t="s">
        <v>23</v>
      </c>
      <c r="D20" s="7" t="s">
        <v>25</v>
      </c>
    </row>
    <row r="21" customFormat="false" ht="15" hidden="false" customHeight="false" outlineLevel="0" collapsed="false">
      <c r="B21" s="8" t="s">
        <v>26</v>
      </c>
      <c r="C21" s="9" t="s">
        <v>27</v>
      </c>
      <c r="D21" s="9" t="s">
        <v>28</v>
      </c>
    </row>
    <row r="22" customFormat="false" ht="15" hidden="false" customHeight="false" outlineLevel="0" collapsed="false">
      <c r="B22" s="6" t="s">
        <v>29</v>
      </c>
      <c r="C22" s="7" t="s">
        <v>30</v>
      </c>
      <c r="D22" s="7" t="s">
        <v>31</v>
      </c>
    </row>
    <row r="24" customFormat="false" ht="27.75" hidden="false" customHeight="true" outlineLevel="0" collapsed="false">
      <c r="B24" s="10" t="s">
        <v>32</v>
      </c>
      <c r="C24" s="10"/>
      <c r="D24" s="10"/>
      <c r="E24" s="10"/>
      <c r="F24" s="10"/>
      <c r="G24" s="10"/>
    </row>
  </sheetData>
  <mergeCells count="12">
    <mergeCell ref="B2:G2"/>
    <mergeCell ref="B3:G3"/>
    <mergeCell ref="B5:G5"/>
    <mergeCell ref="B6:G6"/>
    <mergeCell ref="B7:G7"/>
    <mergeCell ref="B8:G8"/>
    <mergeCell ref="B9:G9"/>
    <mergeCell ref="B10:G10"/>
    <mergeCell ref="B11:G11"/>
    <mergeCell ref="B12:G12"/>
    <mergeCell ref="B14:G14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2" customFormat="false" ht="21.75" hidden="false" customHeight="true" outlineLevel="0" collapsed="false">
      <c r="B2" s="11" t="s">
        <v>33</v>
      </c>
      <c r="C2" s="11"/>
      <c r="D2" s="11"/>
      <c r="E2" s="11"/>
      <c r="F2" s="11"/>
      <c r="G2" s="11"/>
      <c r="H2" s="11"/>
      <c r="I2" s="11"/>
      <c r="J2" s="11"/>
      <c r="K2" s="11"/>
    </row>
    <row r="3" customFormat="false" ht="25.5" hidden="false" customHeight="true" outlineLevel="0" collapsed="false">
      <c r="B3" s="12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  <c r="I3" s="12" t="s">
        <v>41</v>
      </c>
      <c r="J3" s="12" t="s">
        <v>42</v>
      </c>
      <c r="K3" s="12" t="s">
        <v>43</v>
      </c>
    </row>
    <row r="4" customFormat="false" ht="15" hidden="false" customHeight="false" outlineLevel="0" collapsed="false">
      <c r="B4" s="7" t="n">
        <v>1</v>
      </c>
      <c r="C4" s="7" t="s">
        <v>44</v>
      </c>
      <c r="D4" s="13" t="s">
        <v>45</v>
      </c>
      <c r="E4" s="14" t="n">
        <v>1.23</v>
      </c>
      <c r="F4" s="15" t="n">
        <v>0.87</v>
      </c>
      <c r="G4" s="16" t="n">
        <v>1.23</v>
      </c>
      <c r="H4" s="15" t="n">
        <v>0.87</v>
      </c>
      <c r="I4" s="17" t="n">
        <v>24.6</v>
      </c>
      <c r="J4" s="7"/>
      <c r="K4" s="18" t="str">
        <f aca="false">IF(COUNTIF($J$4:$J4,0)&gt;0,"MUERTA",IF(J4=1,"VIVA",IF(COUNT($J$4:$J4)=1,"—","—")))</f>
        <v>—</v>
      </c>
    </row>
    <row r="5" customFormat="false" ht="15" hidden="false" customHeight="false" outlineLevel="0" collapsed="false">
      <c r="B5" s="9" t="n">
        <v>2</v>
      </c>
      <c r="C5" s="9" t="s">
        <v>46</v>
      </c>
      <c r="D5" s="19" t="s">
        <v>47</v>
      </c>
      <c r="E5" s="20" t="n">
        <v>1.27</v>
      </c>
      <c r="F5" s="21" t="n">
        <v>0.88</v>
      </c>
      <c r="G5" s="22" t="n">
        <v>1.562</v>
      </c>
      <c r="H5" s="21" t="n">
        <v>0.7656</v>
      </c>
      <c r="I5" s="23" t="n">
        <v>31.24</v>
      </c>
      <c r="J5" s="9"/>
      <c r="K5" s="18" t="str">
        <f aca="false">IF(COUNTIF($J$4:$J5,0)&gt;0,"MUERTA",IF(J5=1,"VIVA",IF(COUNT($J$4:$J5)=2,"—","—")))</f>
        <v>—</v>
      </c>
    </row>
    <row r="6" customFormat="false" ht="15" hidden="false" customHeight="false" outlineLevel="0" collapsed="false">
      <c r="B6" s="7" t="n">
        <v>3</v>
      </c>
      <c r="C6" s="7" t="s">
        <v>48</v>
      </c>
      <c r="D6" s="13" t="s">
        <v>49</v>
      </c>
      <c r="E6" s="14" t="n">
        <v>2.05</v>
      </c>
      <c r="F6" s="15" t="n">
        <v>0.82</v>
      </c>
      <c r="G6" s="16" t="n">
        <v>3.202</v>
      </c>
      <c r="H6" s="15" t="n">
        <v>0.6278</v>
      </c>
      <c r="I6" s="17" t="n">
        <v>64.05</v>
      </c>
      <c r="J6" s="7"/>
      <c r="K6" s="18" t="str">
        <f aca="false">IF(COUNTIF($J$4:$J6,0)&gt;0,"MUERTA",IF(J6=1,"VIVA",IF(COUNT($J$4:$J6)=3,"—","—")))</f>
        <v>—</v>
      </c>
    </row>
    <row r="7" customFormat="false" ht="15" hidden="false" customHeight="false" outlineLevel="0" collapsed="false">
      <c r="B7" s="24" t="n">
        <v>4</v>
      </c>
      <c r="C7" s="24" t="s">
        <v>50</v>
      </c>
      <c r="D7" s="25" t="s">
        <v>51</v>
      </c>
      <c r="E7" s="26" t="n">
        <v>1.3</v>
      </c>
      <c r="F7" s="27" t="n">
        <v>0.86</v>
      </c>
      <c r="G7" s="28" t="n">
        <v>4.163</v>
      </c>
      <c r="H7" s="27" t="n">
        <v>0.5399</v>
      </c>
      <c r="I7" s="29" t="n">
        <v>83.26</v>
      </c>
      <c r="J7" s="24"/>
      <c r="K7" s="30" t="str">
        <f aca="false">IF(COUNTIF($J$4:$J7,0)&gt;0,"MUERTA",IF(J7=1,"VIVA",IF(COUNT($J$4:$J7)=4,"—","—")))</f>
        <v>—</v>
      </c>
    </row>
    <row r="8" customFormat="false" ht="15" hidden="false" customHeight="false" outlineLevel="0" collapsed="false">
      <c r="B8" s="7" t="n">
        <v>5</v>
      </c>
      <c r="C8" s="7" t="s">
        <v>50</v>
      </c>
      <c r="D8" s="13" t="s">
        <v>52</v>
      </c>
      <c r="E8" s="14" t="n">
        <v>1.47</v>
      </c>
      <c r="F8" s="15" t="n">
        <v>0.73</v>
      </c>
      <c r="G8" s="16" t="n">
        <v>6.12</v>
      </c>
      <c r="H8" s="15" t="n">
        <v>0.3941</v>
      </c>
      <c r="I8" s="17" t="n">
        <v>122.39</v>
      </c>
      <c r="J8" s="7"/>
      <c r="K8" s="18" t="str">
        <f aca="false">IF(COUNTIF($J$4:$J8,0)&gt;0,"MUERTA",IF(J8=1,"VIVA",IF(COUNT($J$4:$J8)=5,"—","—")))</f>
        <v>—</v>
      </c>
    </row>
    <row r="9" customFormat="false" ht="15" hidden="false" customHeight="true" outlineLevel="0" collapsed="false">
      <c r="B9" s="31" t="str">
        <f aca="false">IF(COUNTIF($J$4:$J$8,0)&gt;0,"✗ Ruta muerta",IF(COUNT($J$4:$J$8)=0,"Sin jugar aún","En curso — patas ganadas: "&amp;COUNTIF($J$4:$J$8,1)))</f>
        <v>Sin jugar aún</v>
      </c>
      <c r="C9" s="31"/>
      <c r="D9" s="31"/>
      <c r="E9" s="31"/>
      <c r="F9" s="31"/>
      <c r="G9" s="31"/>
      <c r="H9" s="31"/>
      <c r="I9" s="32" t="n">
        <f aca="false">I7</f>
        <v>83.26</v>
      </c>
      <c r="J9" s="10" t="s">
        <v>53</v>
      </c>
      <c r="K9" s="10"/>
    </row>
    <row r="11" customFormat="false" ht="21.75" hidden="false" customHeight="true" outlineLevel="0" collapsed="false">
      <c r="B11" s="11" t="s">
        <v>54</v>
      </c>
      <c r="C11" s="11"/>
      <c r="D11" s="11"/>
      <c r="E11" s="11"/>
      <c r="F11" s="11"/>
      <c r="G11" s="11"/>
      <c r="H11" s="11"/>
      <c r="I11" s="11"/>
      <c r="J11" s="11"/>
      <c r="K11" s="11"/>
    </row>
    <row r="12" customFormat="false" ht="25.5" hidden="false" customHeight="true" outlineLevel="0" collapsed="false">
      <c r="B12" s="12" t="s">
        <v>34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I12" s="12" t="s">
        <v>41</v>
      </c>
      <c r="J12" s="12" t="s">
        <v>42</v>
      </c>
      <c r="K12" s="12" t="s">
        <v>43</v>
      </c>
    </row>
    <row r="13" customFormat="false" ht="15" hidden="false" customHeight="false" outlineLevel="0" collapsed="false">
      <c r="B13" s="7" t="n">
        <v>1</v>
      </c>
      <c r="C13" s="7" t="s">
        <v>55</v>
      </c>
      <c r="D13" s="13" t="s">
        <v>56</v>
      </c>
      <c r="E13" s="14" t="n">
        <v>1.8</v>
      </c>
      <c r="F13" s="15" t="n">
        <v>0.78</v>
      </c>
      <c r="G13" s="16" t="n">
        <v>1.8</v>
      </c>
      <c r="H13" s="15" t="n">
        <v>0.78</v>
      </c>
      <c r="I13" s="17" t="n">
        <v>36</v>
      </c>
      <c r="J13" s="7"/>
      <c r="K13" s="18" t="str">
        <f aca="false">IF(COUNTIF($J$13:$J13,0)&gt;0,"MUERTA",IF(J13=1,"VIVA",IF(COUNT($J$13:$J13)=1,"—","—")))</f>
        <v>—</v>
      </c>
    </row>
    <row r="14" customFormat="false" ht="15" hidden="false" customHeight="false" outlineLevel="0" collapsed="false">
      <c r="B14" s="9" t="n">
        <v>2</v>
      </c>
      <c r="C14" s="9" t="s">
        <v>48</v>
      </c>
      <c r="D14" s="19" t="s">
        <v>57</v>
      </c>
      <c r="E14" s="20" t="n">
        <v>1.06</v>
      </c>
      <c r="F14" s="21" t="n">
        <v>0.99</v>
      </c>
      <c r="G14" s="22" t="n">
        <v>1.908</v>
      </c>
      <c r="H14" s="21" t="n">
        <v>0.7722</v>
      </c>
      <c r="I14" s="23" t="n">
        <v>38.16</v>
      </c>
      <c r="J14" s="9"/>
      <c r="K14" s="18" t="str">
        <f aca="false">IF(COUNTIF($J$13:$J14,0)&gt;0,"MUERTA",IF(J14=1,"VIVA",IF(COUNT($J$13:$J14)=2,"—","—")))</f>
        <v>—</v>
      </c>
    </row>
    <row r="15" customFormat="false" ht="15" hidden="false" customHeight="false" outlineLevel="0" collapsed="false">
      <c r="B15" s="24" t="n">
        <v>3</v>
      </c>
      <c r="C15" s="24" t="s">
        <v>58</v>
      </c>
      <c r="D15" s="25" t="s">
        <v>59</v>
      </c>
      <c r="E15" s="26" t="n">
        <v>1.47</v>
      </c>
      <c r="F15" s="27" t="n">
        <v>0.76</v>
      </c>
      <c r="G15" s="28" t="n">
        <v>2.805</v>
      </c>
      <c r="H15" s="27" t="n">
        <v>0.5869</v>
      </c>
      <c r="I15" s="29" t="n">
        <v>56.1</v>
      </c>
      <c r="J15" s="24"/>
      <c r="K15" s="30" t="str">
        <f aca="false">IF(COUNTIF($J$13:$J15,0)&gt;0,"MUERTA",IF(J15=1,"VIVA",IF(COUNT($J$13:$J15)=3,"—","—")))</f>
        <v>—</v>
      </c>
    </row>
    <row r="16" customFormat="false" ht="15" hidden="false" customHeight="false" outlineLevel="0" collapsed="false">
      <c r="B16" s="9" t="n">
        <v>4</v>
      </c>
      <c r="C16" s="9" t="s">
        <v>58</v>
      </c>
      <c r="D16" s="19" t="s">
        <v>51</v>
      </c>
      <c r="E16" s="20" t="n">
        <v>1.47</v>
      </c>
      <c r="F16" s="21" t="n">
        <v>0.73</v>
      </c>
      <c r="G16" s="22" t="n">
        <v>4.123</v>
      </c>
      <c r="H16" s="21" t="n">
        <v>0.4284</v>
      </c>
      <c r="I16" s="23" t="n">
        <v>82.46</v>
      </c>
      <c r="J16" s="9"/>
      <c r="K16" s="18" t="str">
        <f aca="false">IF(COUNTIF($J$13:$J16,0)&gt;0,"MUERTA",IF(J16=1,"VIVA",IF(COUNT($J$13:$J16)=4,"—","—")))</f>
        <v>—</v>
      </c>
    </row>
    <row r="17" customFormat="false" ht="15" hidden="false" customHeight="false" outlineLevel="0" collapsed="false">
      <c r="B17" s="7" t="n">
        <v>5</v>
      </c>
      <c r="C17" s="7" t="s">
        <v>60</v>
      </c>
      <c r="D17" s="13" t="s">
        <v>61</v>
      </c>
      <c r="E17" s="14" t="n">
        <v>1.34</v>
      </c>
      <c r="F17" s="15" t="n">
        <v>0.84</v>
      </c>
      <c r="G17" s="16" t="n">
        <v>5.525</v>
      </c>
      <c r="H17" s="15" t="n">
        <v>0.3599</v>
      </c>
      <c r="I17" s="17" t="n">
        <v>110.5</v>
      </c>
      <c r="J17" s="7"/>
      <c r="K17" s="18" t="str">
        <f aca="false">IF(COUNTIF($J$13:$J17,0)&gt;0,"MUERTA",IF(J17=1,"VIVA",IF(COUNT($J$13:$J17)=5,"—","—")))</f>
        <v>—</v>
      </c>
    </row>
    <row r="18" customFormat="false" ht="15" hidden="false" customHeight="true" outlineLevel="0" collapsed="false">
      <c r="B18" s="31" t="str">
        <f aca="false">IF(COUNTIF($J$13:$J$17,0)&gt;0,"✗ Ruta muerta",IF(COUNT($J$13:$J$17)=0,"Sin jugar aún","En curso — patas ganadas: "&amp;COUNTIF($J$13:$J$17,1)))</f>
        <v>Sin jugar aún</v>
      </c>
      <c r="C18" s="31"/>
      <c r="D18" s="31"/>
      <c r="E18" s="31"/>
      <c r="F18" s="31"/>
      <c r="G18" s="31"/>
      <c r="H18" s="31"/>
      <c r="I18" s="32" t="n">
        <f aca="false">I15</f>
        <v>56.1</v>
      </c>
      <c r="J18" s="10" t="s">
        <v>53</v>
      </c>
      <c r="K18" s="10"/>
    </row>
    <row r="20" customFormat="false" ht="21.75" hidden="false" customHeight="true" outlineLevel="0" collapsed="false">
      <c r="B20" s="11" t="s">
        <v>62</v>
      </c>
      <c r="C20" s="11"/>
      <c r="D20" s="11"/>
      <c r="E20" s="11"/>
      <c r="F20" s="11"/>
      <c r="G20" s="11"/>
      <c r="H20" s="11"/>
      <c r="I20" s="11"/>
      <c r="J20" s="11"/>
      <c r="K20" s="11"/>
    </row>
    <row r="21" customFormat="false" ht="25.5" hidden="false" customHeight="true" outlineLevel="0" collapsed="false">
      <c r="B21" s="12" t="s">
        <v>34</v>
      </c>
      <c r="C21" s="12" t="s">
        <v>35</v>
      </c>
      <c r="D21" s="12" t="s">
        <v>36</v>
      </c>
      <c r="E21" s="12" t="s">
        <v>37</v>
      </c>
      <c r="F21" s="12" t="s">
        <v>38</v>
      </c>
      <c r="G21" s="12" t="s">
        <v>39</v>
      </c>
      <c r="H21" s="12" t="s">
        <v>40</v>
      </c>
      <c r="I21" s="12" t="s">
        <v>41</v>
      </c>
      <c r="J21" s="12" t="s">
        <v>42</v>
      </c>
      <c r="K21" s="12" t="s">
        <v>43</v>
      </c>
    </row>
    <row r="22" customFormat="false" ht="15" hidden="false" customHeight="false" outlineLevel="0" collapsed="false">
      <c r="B22" s="7" t="n">
        <v>1</v>
      </c>
      <c r="C22" s="7" t="s">
        <v>44</v>
      </c>
      <c r="D22" s="13" t="s">
        <v>63</v>
      </c>
      <c r="E22" s="14" t="n">
        <v>1.34</v>
      </c>
      <c r="F22" s="15" t="n">
        <v>0.82</v>
      </c>
      <c r="G22" s="16" t="n">
        <v>1.34</v>
      </c>
      <c r="H22" s="15" t="n">
        <v>0.82</v>
      </c>
      <c r="I22" s="17" t="n">
        <v>26.8</v>
      </c>
      <c r="J22" s="7"/>
      <c r="K22" s="18" t="str">
        <f aca="false">IF(COUNTIF($J$22:$J22,0)&gt;0,"MUERTA",IF(J22=1,"VIVA",IF(COUNT($J$22:$J22)=1,"—","—")))</f>
        <v>—</v>
      </c>
    </row>
    <row r="23" customFormat="false" ht="15" hidden="false" customHeight="false" outlineLevel="0" collapsed="false">
      <c r="B23" s="9" t="n">
        <v>2</v>
      </c>
      <c r="C23" s="9" t="s">
        <v>44</v>
      </c>
      <c r="D23" s="19" t="s">
        <v>64</v>
      </c>
      <c r="E23" s="20" t="n">
        <v>1.47</v>
      </c>
      <c r="F23" s="21" t="n">
        <v>0.71</v>
      </c>
      <c r="G23" s="22" t="n">
        <v>1.97</v>
      </c>
      <c r="H23" s="21" t="n">
        <v>0.5822</v>
      </c>
      <c r="I23" s="23" t="n">
        <v>39.4</v>
      </c>
      <c r="J23" s="9"/>
      <c r="K23" s="18" t="str">
        <f aca="false">IF(COUNTIF($J$22:$J23,0)&gt;0,"MUERTA",IF(J23=1,"VIVA",IF(COUNT($J$22:$J23)=2,"—","—")))</f>
        <v>—</v>
      </c>
    </row>
    <row r="24" customFormat="false" ht="15" hidden="false" customHeight="false" outlineLevel="0" collapsed="false">
      <c r="B24" s="7" t="n">
        <v>3</v>
      </c>
      <c r="C24" s="7" t="s">
        <v>65</v>
      </c>
      <c r="D24" s="13" t="s">
        <v>66</v>
      </c>
      <c r="E24" s="14" t="n">
        <v>1.42</v>
      </c>
      <c r="F24" s="15" t="n">
        <v>0.92</v>
      </c>
      <c r="G24" s="16" t="n">
        <v>2.797</v>
      </c>
      <c r="H24" s="15" t="n">
        <v>0.5356</v>
      </c>
      <c r="I24" s="17" t="n">
        <v>55.94</v>
      </c>
      <c r="J24" s="7"/>
      <c r="K24" s="18" t="str">
        <f aca="false">IF(COUNTIF($J$22:$J24,0)&gt;0,"MUERTA",IF(J24=1,"VIVA",IF(COUNT($J$22:$J24)=3,"—","—")))</f>
        <v>—</v>
      </c>
    </row>
    <row r="25" customFormat="false" ht="15" hidden="false" customHeight="false" outlineLevel="0" collapsed="false">
      <c r="B25" s="24" t="n">
        <v>4</v>
      </c>
      <c r="C25" s="24" t="s">
        <v>67</v>
      </c>
      <c r="D25" s="25" t="s">
        <v>64</v>
      </c>
      <c r="E25" s="26" t="n">
        <v>1.12</v>
      </c>
      <c r="F25" s="27" t="n">
        <v>0.96</v>
      </c>
      <c r="G25" s="28" t="n">
        <v>3.133</v>
      </c>
      <c r="H25" s="27" t="n">
        <v>0.5142</v>
      </c>
      <c r="I25" s="29" t="n">
        <v>62.66</v>
      </c>
      <c r="J25" s="24"/>
      <c r="K25" s="30" t="str">
        <f aca="false">IF(COUNTIF($J$22:$J25,0)&gt;0,"MUERTA",IF(J25=1,"VIVA",IF(COUNT($J$22:$J25)=4,"—","—")))</f>
        <v>—</v>
      </c>
    </row>
    <row r="26" customFormat="false" ht="15" hidden="false" customHeight="false" outlineLevel="0" collapsed="false">
      <c r="B26" s="7" t="n">
        <v>5</v>
      </c>
      <c r="C26" s="7" t="s">
        <v>68</v>
      </c>
      <c r="D26" s="13" t="s">
        <v>69</v>
      </c>
      <c r="E26" s="14" t="n">
        <v>1.2</v>
      </c>
      <c r="F26" s="15" t="n">
        <v>0.95</v>
      </c>
      <c r="G26" s="16" t="n">
        <v>3.759</v>
      </c>
      <c r="H26" s="15" t="n">
        <v>0.4885</v>
      </c>
      <c r="I26" s="17" t="n">
        <v>75.19</v>
      </c>
      <c r="J26" s="7"/>
      <c r="K26" s="18" t="str">
        <f aca="false">IF(COUNTIF($J$22:$J26,0)&gt;0,"MUERTA",IF(J26=1,"VIVA",IF(COUNT($J$22:$J26)=5,"—","—")))</f>
        <v>—</v>
      </c>
    </row>
    <row r="27" customFormat="false" ht="15" hidden="false" customHeight="true" outlineLevel="0" collapsed="false">
      <c r="B27" s="31" t="str">
        <f aca="false">IF(COUNTIF($J$22:$J$26,0)&gt;0,"✗ Ruta muerta",IF(COUNT($J$22:$J$26)=0,"Sin jugar aún","En curso — patas ganadas: "&amp;COUNTIF($J$22:$J$26,1)))</f>
        <v>Sin jugar aún</v>
      </c>
      <c r="C27" s="31"/>
      <c r="D27" s="31"/>
      <c r="E27" s="31"/>
      <c r="F27" s="31"/>
      <c r="G27" s="31"/>
      <c r="H27" s="31"/>
      <c r="I27" s="32" t="n">
        <f aca="false">I25</f>
        <v>62.66</v>
      </c>
      <c r="J27" s="10" t="s">
        <v>53</v>
      </c>
      <c r="K27" s="10"/>
    </row>
    <row r="29" customFormat="false" ht="21.75" hidden="false" customHeight="true" outlineLevel="0" collapsed="false">
      <c r="B29" s="11" t="s">
        <v>70</v>
      </c>
      <c r="C29" s="11"/>
      <c r="D29" s="11"/>
      <c r="E29" s="11"/>
      <c r="F29" s="11"/>
      <c r="G29" s="11"/>
      <c r="H29" s="11"/>
      <c r="I29" s="11"/>
      <c r="J29" s="11"/>
      <c r="K29" s="11"/>
    </row>
    <row r="30" customFormat="false" ht="25.5" hidden="false" customHeight="true" outlineLevel="0" collapsed="false">
      <c r="B30" s="12" t="s">
        <v>34</v>
      </c>
      <c r="C30" s="12" t="s">
        <v>35</v>
      </c>
      <c r="D30" s="12" t="s">
        <v>36</v>
      </c>
      <c r="E30" s="12" t="s">
        <v>37</v>
      </c>
      <c r="F30" s="12" t="s">
        <v>38</v>
      </c>
      <c r="G30" s="12" t="s">
        <v>39</v>
      </c>
      <c r="H30" s="12" t="s">
        <v>40</v>
      </c>
      <c r="I30" s="12" t="s">
        <v>41</v>
      </c>
      <c r="J30" s="12" t="s">
        <v>42</v>
      </c>
      <c r="K30" s="12" t="s">
        <v>43</v>
      </c>
    </row>
    <row r="31" customFormat="false" ht="15" hidden="false" customHeight="false" outlineLevel="0" collapsed="false">
      <c r="B31" s="7" t="n">
        <v>1</v>
      </c>
      <c r="C31" s="7" t="s">
        <v>55</v>
      </c>
      <c r="D31" s="13" t="s">
        <v>71</v>
      </c>
      <c r="E31" s="14" t="n">
        <v>1.26</v>
      </c>
      <c r="F31" s="15" t="n">
        <v>0.87</v>
      </c>
      <c r="G31" s="16" t="n">
        <v>1.26</v>
      </c>
      <c r="H31" s="15" t="n">
        <v>0.87</v>
      </c>
      <c r="I31" s="17" t="n">
        <v>25.2</v>
      </c>
      <c r="J31" s="7"/>
      <c r="K31" s="18" t="str">
        <f aca="false">IF(COUNTIF($J$31:$J31,0)&gt;0,"MUERTA",IF(J31=1,"VIVA",IF(COUNT($J$31:$J31)=1,"—","—")))</f>
        <v>—</v>
      </c>
    </row>
    <row r="32" customFormat="false" ht="15" hidden="false" customHeight="false" outlineLevel="0" collapsed="false">
      <c r="B32" s="9" t="n">
        <v>2</v>
      </c>
      <c r="C32" s="9" t="s">
        <v>72</v>
      </c>
      <c r="D32" s="19" t="s">
        <v>73</v>
      </c>
      <c r="E32" s="20" t="n">
        <v>1.1</v>
      </c>
      <c r="F32" s="21" t="n">
        <v>0.98</v>
      </c>
      <c r="G32" s="22" t="n">
        <v>1.386</v>
      </c>
      <c r="H32" s="21" t="n">
        <v>0.8526</v>
      </c>
      <c r="I32" s="23" t="n">
        <v>27.72</v>
      </c>
      <c r="J32" s="9"/>
      <c r="K32" s="18" t="str">
        <f aca="false">IF(COUNTIF($J$31:$J32,0)&gt;0,"MUERTA",IF(J32=1,"VIVA",IF(COUNT($J$31:$J32)=2,"—","—")))</f>
        <v>—</v>
      </c>
    </row>
    <row r="33" customFormat="false" ht="15" hidden="false" customHeight="false" outlineLevel="0" collapsed="false">
      <c r="B33" s="7" t="n">
        <v>3</v>
      </c>
      <c r="C33" s="7" t="s">
        <v>58</v>
      </c>
      <c r="D33" s="13" t="s">
        <v>74</v>
      </c>
      <c r="E33" s="14" t="n">
        <v>1.19</v>
      </c>
      <c r="F33" s="15" t="n">
        <v>0.87</v>
      </c>
      <c r="G33" s="16" t="n">
        <v>1.649</v>
      </c>
      <c r="H33" s="15" t="n">
        <v>0.7418</v>
      </c>
      <c r="I33" s="17" t="n">
        <v>32.99</v>
      </c>
      <c r="J33" s="7"/>
      <c r="K33" s="18" t="str">
        <f aca="false">IF(COUNTIF($J$31:$J33,0)&gt;0,"MUERTA",IF(J33=1,"VIVA",IF(COUNT($J$31:$J33)=3,"—","—")))</f>
        <v>—</v>
      </c>
    </row>
    <row r="34" customFormat="false" ht="15" hidden="false" customHeight="false" outlineLevel="0" collapsed="false">
      <c r="B34" s="9" t="n">
        <v>4</v>
      </c>
      <c r="C34" s="9" t="s">
        <v>75</v>
      </c>
      <c r="D34" s="19" t="s">
        <v>66</v>
      </c>
      <c r="E34" s="20" t="n">
        <v>1.52</v>
      </c>
      <c r="F34" s="21" t="n">
        <v>0.75</v>
      </c>
      <c r="G34" s="22" t="n">
        <v>2.507</v>
      </c>
      <c r="H34" s="21" t="n">
        <v>0.5563</v>
      </c>
      <c r="I34" s="23" t="n">
        <v>50.14</v>
      </c>
      <c r="J34" s="9"/>
      <c r="K34" s="18" t="str">
        <f aca="false">IF(COUNTIF($J$31:$J34,0)&gt;0,"MUERTA",IF(J34=1,"VIVA",IF(COUNT($J$31:$J34)=4,"—","—")))</f>
        <v>—</v>
      </c>
    </row>
    <row r="35" customFormat="false" ht="15" hidden="false" customHeight="false" outlineLevel="0" collapsed="false">
      <c r="B35" s="24" t="n">
        <v>5</v>
      </c>
      <c r="C35" s="24" t="s">
        <v>76</v>
      </c>
      <c r="D35" s="25" t="s">
        <v>57</v>
      </c>
      <c r="E35" s="26" t="n">
        <v>1.4</v>
      </c>
      <c r="F35" s="27" t="n">
        <v>0.92</v>
      </c>
      <c r="G35" s="28" t="n">
        <v>3.51</v>
      </c>
      <c r="H35" s="27" t="n">
        <v>0.5118</v>
      </c>
      <c r="I35" s="29" t="n">
        <v>70.2</v>
      </c>
      <c r="J35" s="24"/>
      <c r="K35" s="30" t="str">
        <f aca="false">IF(COUNTIF($J$31:$J35,0)&gt;0,"MUERTA",IF(J35=1,"VIVA",IF(COUNT($J$31:$J35)=5,"—","—")))</f>
        <v>—</v>
      </c>
    </row>
    <row r="36" customFormat="false" ht="15" hidden="false" customHeight="true" outlineLevel="0" collapsed="false">
      <c r="B36" s="31" t="str">
        <f aca="false">IF(COUNTIF($J$31:$J$35,0)&gt;0,"✗ Ruta muerta",IF(COUNT($J$31:$J$35)=0,"Sin jugar aún","En curso — patas ganadas: "&amp;COUNTIF($J$31:$J$35,1)))</f>
        <v>Sin jugar aún</v>
      </c>
      <c r="C36" s="31"/>
      <c r="D36" s="31"/>
      <c r="E36" s="31"/>
      <c r="F36" s="31"/>
      <c r="G36" s="31"/>
      <c r="H36" s="31"/>
      <c r="I36" s="32" t="n">
        <f aca="false">I35</f>
        <v>70.2</v>
      </c>
      <c r="J36" s="10" t="s">
        <v>53</v>
      </c>
      <c r="K36" s="10"/>
    </row>
    <row r="38" customFormat="false" ht="21.75" hidden="false" customHeight="true" outlineLevel="0" collapsed="false">
      <c r="B38" s="11" t="s">
        <v>77</v>
      </c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25.5" hidden="false" customHeight="true" outlineLevel="0" collapsed="false">
      <c r="B39" s="12" t="s">
        <v>34</v>
      </c>
      <c r="C39" s="12" t="s">
        <v>35</v>
      </c>
      <c r="D39" s="12" t="s">
        <v>36</v>
      </c>
      <c r="E39" s="12" t="s">
        <v>37</v>
      </c>
      <c r="F39" s="12" t="s">
        <v>38</v>
      </c>
      <c r="G39" s="12" t="s">
        <v>39</v>
      </c>
      <c r="H39" s="12" t="s">
        <v>40</v>
      </c>
      <c r="I39" s="12" t="s">
        <v>41</v>
      </c>
      <c r="J39" s="12" t="s">
        <v>42</v>
      </c>
      <c r="K39" s="12" t="s">
        <v>43</v>
      </c>
    </row>
    <row r="40" customFormat="false" ht="15" hidden="false" customHeight="false" outlineLevel="0" collapsed="false">
      <c r="B40" s="7" t="n">
        <v>1</v>
      </c>
      <c r="C40" s="7" t="s">
        <v>65</v>
      </c>
      <c r="D40" s="13" t="s">
        <v>78</v>
      </c>
      <c r="E40" s="14" t="n">
        <v>1.29</v>
      </c>
      <c r="F40" s="15" t="n">
        <v>0.8</v>
      </c>
      <c r="G40" s="16" t="n">
        <v>1.29</v>
      </c>
      <c r="H40" s="15" t="n">
        <v>0.8</v>
      </c>
      <c r="I40" s="17" t="n">
        <v>25.8</v>
      </c>
      <c r="J40" s="7"/>
      <c r="K40" s="18" t="str">
        <f aca="false">IF(COUNTIF($J$40:$J40,0)&gt;0,"MUERTA",IF(J40=1,"VIVA",IF(COUNT($J$40:$J40)=1,"—","—")))</f>
        <v>—</v>
      </c>
    </row>
    <row r="41" customFormat="false" ht="15" hidden="false" customHeight="false" outlineLevel="0" collapsed="false">
      <c r="B41" s="9" t="n">
        <v>2</v>
      </c>
      <c r="C41" s="9" t="s">
        <v>75</v>
      </c>
      <c r="D41" s="19" t="s">
        <v>79</v>
      </c>
      <c r="E41" s="20" t="n">
        <v>1.5</v>
      </c>
      <c r="F41" s="21" t="n">
        <v>0.84</v>
      </c>
      <c r="G41" s="22" t="n">
        <v>1.935</v>
      </c>
      <c r="H41" s="21" t="n">
        <v>0.672</v>
      </c>
      <c r="I41" s="23" t="n">
        <v>38.7</v>
      </c>
      <c r="J41" s="9"/>
      <c r="K41" s="18" t="str">
        <f aca="false">IF(COUNTIF($J$40:$J41,0)&gt;0,"MUERTA",IF(J41=1,"VIVA",IF(COUNT($J$40:$J41)=2,"—","—")))</f>
        <v>—</v>
      </c>
    </row>
    <row r="42" customFormat="false" ht="15" hidden="false" customHeight="false" outlineLevel="0" collapsed="false">
      <c r="B42" s="7" t="n">
        <v>3</v>
      </c>
      <c r="C42" s="7" t="s">
        <v>75</v>
      </c>
      <c r="D42" s="13" t="s">
        <v>69</v>
      </c>
      <c r="E42" s="14" t="n">
        <v>1.32</v>
      </c>
      <c r="F42" s="15" t="n">
        <v>0.82</v>
      </c>
      <c r="G42" s="16" t="n">
        <v>2.554</v>
      </c>
      <c r="H42" s="15" t="n">
        <v>0.551</v>
      </c>
      <c r="I42" s="17" t="n">
        <v>51.08</v>
      </c>
      <c r="J42" s="7"/>
      <c r="K42" s="18" t="str">
        <f aca="false">IF(COUNTIF($J$40:$J42,0)&gt;0,"MUERTA",IF(J42=1,"VIVA",IF(COUNT($J$40:$J42)=3,"—","—")))</f>
        <v>—</v>
      </c>
    </row>
    <row r="43" customFormat="false" ht="15" hidden="false" customHeight="false" outlineLevel="0" collapsed="false">
      <c r="B43" s="24" t="n">
        <v>4</v>
      </c>
      <c r="C43" s="24" t="s">
        <v>76</v>
      </c>
      <c r="D43" s="25" t="s">
        <v>49</v>
      </c>
      <c r="E43" s="26" t="n">
        <v>1.26</v>
      </c>
      <c r="F43" s="27" t="n">
        <v>0.93</v>
      </c>
      <c r="G43" s="28" t="n">
        <v>3.218</v>
      </c>
      <c r="H43" s="27" t="n">
        <v>0.5125</v>
      </c>
      <c r="I43" s="29" t="n">
        <v>64.37</v>
      </c>
      <c r="J43" s="24"/>
      <c r="K43" s="30" t="str">
        <f aca="false">IF(COUNTIF($J$40:$J43,0)&gt;0,"MUERTA",IF(J43=1,"VIVA",IF(COUNT($J$40:$J43)=4,"—","—")))</f>
        <v>—</v>
      </c>
    </row>
    <row r="44" customFormat="false" ht="15" hidden="false" customHeight="false" outlineLevel="0" collapsed="false">
      <c r="B44" s="7" t="n">
        <v>5</v>
      </c>
      <c r="C44" s="7" t="s">
        <v>68</v>
      </c>
      <c r="D44" s="13" t="s">
        <v>80</v>
      </c>
      <c r="E44" s="14" t="n">
        <v>1.2</v>
      </c>
      <c r="F44" s="15" t="n">
        <v>0.91</v>
      </c>
      <c r="G44" s="16" t="n">
        <v>3.862</v>
      </c>
      <c r="H44" s="15" t="n">
        <v>0.4663</v>
      </c>
      <c r="I44" s="17" t="n">
        <v>77.24</v>
      </c>
      <c r="J44" s="7"/>
      <c r="K44" s="18" t="str">
        <f aca="false">IF(COUNTIF($J$40:$J44,0)&gt;0,"MUERTA",IF(J44=1,"VIVA",IF(COUNT($J$40:$J44)=5,"—","—")))</f>
        <v>—</v>
      </c>
    </row>
    <row r="45" customFormat="false" ht="15" hidden="false" customHeight="true" outlineLevel="0" collapsed="false">
      <c r="B45" s="31" t="str">
        <f aca="false">IF(COUNTIF($J$40:$J$44,0)&gt;0,"✗ Ruta muerta",IF(COUNT($J$40:$J$44)=0,"Sin jugar aún","En curso — patas ganadas: "&amp;COUNTIF($J$40:$J$44,1)))</f>
        <v>Sin jugar aún</v>
      </c>
      <c r="C45" s="31"/>
      <c r="D45" s="31"/>
      <c r="E45" s="31"/>
      <c r="F45" s="31"/>
      <c r="G45" s="31"/>
      <c r="H45" s="31"/>
      <c r="I45" s="32" t="n">
        <f aca="false">I43</f>
        <v>64.37</v>
      </c>
      <c r="J45" s="10" t="s">
        <v>53</v>
      </c>
      <c r="K45" s="10"/>
    </row>
    <row r="47" customFormat="false" ht="21.75" hidden="false" customHeight="true" outlineLevel="0" collapsed="false">
      <c r="B47" s="11" t="s">
        <v>81</v>
      </c>
      <c r="C47" s="11"/>
      <c r="D47" s="11"/>
      <c r="E47" s="11"/>
      <c r="F47" s="11"/>
      <c r="G47" s="11"/>
      <c r="H47" s="11"/>
      <c r="I47" s="11"/>
      <c r="J47" s="11"/>
      <c r="K47" s="11"/>
    </row>
    <row r="48" customFormat="false" ht="25.5" hidden="false" customHeight="true" outlineLevel="0" collapsed="false">
      <c r="B48" s="12" t="s">
        <v>34</v>
      </c>
      <c r="C48" s="12" t="s">
        <v>35</v>
      </c>
      <c r="D48" s="12" t="s">
        <v>36</v>
      </c>
      <c r="E48" s="12" t="s">
        <v>37</v>
      </c>
      <c r="F48" s="12" t="s">
        <v>38</v>
      </c>
      <c r="G48" s="12" t="s">
        <v>39</v>
      </c>
      <c r="H48" s="12" t="s">
        <v>40</v>
      </c>
      <c r="I48" s="12" t="s">
        <v>41</v>
      </c>
      <c r="J48" s="12" t="s">
        <v>42</v>
      </c>
      <c r="K48" s="12" t="s">
        <v>43</v>
      </c>
    </row>
    <row r="49" customFormat="false" ht="15" hidden="false" customHeight="false" outlineLevel="0" collapsed="false">
      <c r="B49" s="7" t="n">
        <v>1</v>
      </c>
      <c r="C49" s="7" t="s">
        <v>82</v>
      </c>
      <c r="D49" s="13" t="s">
        <v>83</v>
      </c>
      <c r="E49" s="14" t="n">
        <v>1.45</v>
      </c>
      <c r="F49" s="15" t="n">
        <v>0.75</v>
      </c>
      <c r="G49" s="16" t="n">
        <v>1.45</v>
      </c>
      <c r="H49" s="15" t="n">
        <v>0.75</v>
      </c>
      <c r="I49" s="17" t="n">
        <v>29</v>
      </c>
      <c r="J49" s="7"/>
      <c r="K49" s="18" t="str">
        <f aca="false">IF(COUNTIF($J$49:$J49,0)&gt;0,"MUERTA",IF(J49=1,"VIVA",IF(COUNT($J$49:$J49)=1,"—","—")))</f>
        <v>—</v>
      </c>
    </row>
    <row r="50" customFormat="false" ht="15" hidden="false" customHeight="false" outlineLevel="0" collapsed="false">
      <c r="B50" s="9" t="n">
        <v>2</v>
      </c>
      <c r="C50" s="9" t="s">
        <v>84</v>
      </c>
      <c r="D50" s="19" t="s">
        <v>85</v>
      </c>
      <c r="E50" s="20" t="n">
        <v>1.05</v>
      </c>
      <c r="F50" s="21" t="n">
        <v>0.98</v>
      </c>
      <c r="G50" s="22" t="n">
        <v>1.522</v>
      </c>
      <c r="H50" s="21" t="n">
        <v>0.735</v>
      </c>
      <c r="I50" s="23" t="n">
        <v>30.45</v>
      </c>
      <c r="J50" s="9"/>
      <c r="K50" s="18" t="str">
        <f aca="false">IF(COUNTIF($J$49:$J50,0)&gt;0,"MUERTA",IF(J50=1,"VIVA",IF(COUNT($J$49:$J50)=2,"—","—")))</f>
        <v>—</v>
      </c>
    </row>
    <row r="51" customFormat="false" ht="15" hidden="false" customHeight="false" outlineLevel="0" collapsed="false">
      <c r="B51" s="7" t="n">
        <v>3</v>
      </c>
      <c r="C51" s="7" t="s">
        <v>65</v>
      </c>
      <c r="D51" s="13" t="s">
        <v>86</v>
      </c>
      <c r="E51" s="14" t="n">
        <v>1.28</v>
      </c>
      <c r="F51" s="15" t="n">
        <v>0.85</v>
      </c>
      <c r="G51" s="16" t="n">
        <v>1.949</v>
      </c>
      <c r="H51" s="15" t="n">
        <v>0.6248</v>
      </c>
      <c r="I51" s="17" t="n">
        <v>38.98</v>
      </c>
      <c r="J51" s="7"/>
      <c r="K51" s="18" t="str">
        <f aca="false">IF(COUNTIF($J$49:$J51,0)&gt;0,"MUERTA",IF(J51=1,"VIVA",IF(COUNT($J$49:$J51)=3,"—","—")))</f>
        <v>—</v>
      </c>
    </row>
    <row r="52" customFormat="false" ht="15" hidden="false" customHeight="false" outlineLevel="0" collapsed="false">
      <c r="B52" s="9" t="n">
        <v>4</v>
      </c>
      <c r="C52" s="9" t="s">
        <v>87</v>
      </c>
      <c r="D52" s="19" t="s">
        <v>88</v>
      </c>
      <c r="E52" s="20" t="n">
        <v>1.27</v>
      </c>
      <c r="F52" s="21" t="n">
        <v>0.95</v>
      </c>
      <c r="G52" s="22" t="n">
        <v>2.475</v>
      </c>
      <c r="H52" s="21" t="n">
        <v>0.5935</v>
      </c>
      <c r="I52" s="23" t="n">
        <v>49.5</v>
      </c>
      <c r="J52" s="9"/>
      <c r="K52" s="18" t="str">
        <f aca="false">IF(COUNTIF($J$49:$J52,0)&gt;0,"MUERTA",IF(J52=1,"VIVA",IF(COUNT($J$49:$J52)=4,"—","—")))</f>
        <v>—</v>
      </c>
    </row>
    <row r="53" customFormat="false" ht="15" hidden="false" customHeight="false" outlineLevel="0" collapsed="false">
      <c r="B53" s="24" t="n">
        <v>5</v>
      </c>
      <c r="C53" s="24" t="s">
        <v>75</v>
      </c>
      <c r="D53" s="25" t="s">
        <v>86</v>
      </c>
      <c r="E53" s="26" t="n">
        <v>1.27</v>
      </c>
      <c r="F53" s="27" t="n">
        <v>0.95</v>
      </c>
      <c r="G53" s="28" t="n">
        <v>3.143</v>
      </c>
      <c r="H53" s="27" t="n">
        <v>0.5638</v>
      </c>
      <c r="I53" s="29" t="n">
        <v>62.86</v>
      </c>
      <c r="J53" s="24"/>
      <c r="K53" s="30" t="str">
        <f aca="false">IF(COUNTIF($J$49:$J53,0)&gt;0,"MUERTA",IF(J53=1,"VIVA",IF(COUNT($J$49:$J53)=5,"—","—")))</f>
        <v>—</v>
      </c>
    </row>
    <row r="54" customFormat="false" ht="15" hidden="false" customHeight="true" outlineLevel="0" collapsed="false">
      <c r="B54" s="31" t="str">
        <f aca="false">IF(COUNTIF($J$49:$J$53,0)&gt;0,"✗ Ruta muerta",IF(COUNT($J$49:$J$53)=0,"Sin jugar aún","En curso — patas ganadas: "&amp;COUNTIF($J$49:$J$53,1)))</f>
        <v>Sin jugar aún</v>
      </c>
      <c r="C54" s="31"/>
      <c r="D54" s="31"/>
      <c r="E54" s="31"/>
      <c r="F54" s="31"/>
      <c r="G54" s="31"/>
      <c r="H54" s="31"/>
      <c r="I54" s="32" t="n">
        <f aca="false">I53</f>
        <v>62.86</v>
      </c>
      <c r="J54" s="10" t="s">
        <v>53</v>
      </c>
      <c r="K54" s="10"/>
    </row>
  </sheetData>
  <mergeCells count="18">
    <mergeCell ref="B2:K2"/>
    <mergeCell ref="B9:H9"/>
    <mergeCell ref="J9:K9"/>
    <mergeCell ref="B11:K11"/>
    <mergeCell ref="B18:H18"/>
    <mergeCell ref="J18:K18"/>
    <mergeCell ref="B20:K20"/>
    <mergeCell ref="B27:H27"/>
    <mergeCell ref="J27:K27"/>
    <mergeCell ref="B29:K29"/>
    <mergeCell ref="B36:H36"/>
    <mergeCell ref="J36:K36"/>
    <mergeCell ref="B38:K38"/>
    <mergeCell ref="B45:H45"/>
    <mergeCell ref="J45:K45"/>
    <mergeCell ref="B47:K47"/>
    <mergeCell ref="B54:H54"/>
    <mergeCell ref="J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3"/>
  </cols>
  <sheetData>
    <row r="2" customFormat="false" ht="27.75" hidden="false" customHeight="true" outlineLevel="0" collapsed="false">
      <c r="B2" s="33" t="s">
        <v>89</v>
      </c>
      <c r="C2" s="33"/>
      <c r="D2" s="33"/>
      <c r="E2" s="33"/>
    </row>
    <row r="3" customFormat="false" ht="21.75" hidden="false" customHeight="true" outlineLevel="0" collapsed="false">
      <c r="B3" s="2" t="s">
        <v>90</v>
      </c>
      <c r="C3" s="2"/>
      <c r="D3" s="2"/>
      <c r="E3" s="2"/>
    </row>
    <row r="5" customFormat="false" ht="15" hidden="false" customHeight="true" outlineLevel="0" collapsed="false">
      <c r="B5" s="34" t="s">
        <v>91</v>
      </c>
      <c r="C5" s="34"/>
      <c r="D5" s="34"/>
      <c r="E5" s="34"/>
    </row>
    <row r="6" customFormat="false" ht="23.85" hidden="false" customHeight="false" outlineLevel="0" collapsed="false">
      <c r="B6" s="35" t="s">
        <v>92</v>
      </c>
      <c r="C6" s="36" t="n">
        <v>83.26</v>
      </c>
    </row>
    <row r="7" customFormat="false" ht="23.85" hidden="false" customHeight="false" outlineLevel="0" collapsed="false">
      <c r="B7" s="35" t="s">
        <v>93</v>
      </c>
      <c r="C7" s="37" t="n">
        <v>3.4</v>
      </c>
    </row>
    <row r="9" customFormat="false" ht="15" hidden="false" customHeight="true" outlineLevel="0" collapsed="false">
      <c r="B9" s="34" t="s">
        <v>94</v>
      </c>
      <c r="C9" s="34"/>
      <c r="D9" s="34"/>
      <c r="E9" s="34"/>
    </row>
    <row r="10" customFormat="false" ht="23.85" hidden="false" customHeight="false" outlineLevel="0" collapsed="false">
      <c r="B10" s="35" t="s">
        <v>95</v>
      </c>
      <c r="C10" s="38" t="n">
        <f aca="false">C6/C7</f>
        <v>24.4882352941177</v>
      </c>
    </row>
    <row r="11" customFormat="false" ht="15" hidden="false" customHeight="false" outlineLevel="0" collapsed="false">
      <c r="B11" s="35" t="s">
        <v>96</v>
      </c>
      <c r="C11" s="38" t="n">
        <f aca="false">C6-(C6/C7)</f>
        <v>58.7717647058824</v>
      </c>
    </row>
    <row r="12" customFormat="false" ht="23.85" hidden="false" customHeight="false" outlineLevel="0" collapsed="false">
      <c r="B12" s="35" t="s">
        <v>97</v>
      </c>
      <c r="C12" s="38" t="n">
        <f aca="false">(C6/C7)*C7-(C6/C7)</f>
        <v>58.7717647058824</v>
      </c>
    </row>
    <row r="14" customFormat="false" ht="30" hidden="false" customHeight="true" outlineLevel="0" collapsed="false">
      <c r="B14" s="10" t="s">
        <v>98</v>
      </c>
      <c r="C14" s="10"/>
      <c r="D14" s="10"/>
      <c r="E14" s="10"/>
    </row>
  </sheetData>
  <mergeCells count="5">
    <mergeCell ref="B2:E2"/>
    <mergeCell ref="B3:E3"/>
    <mergeCell ref="B5:E5"/>
    <mergeCell ref="B9:E9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2026-06-04T23:39:34Z</dcterms:created>
  <dc:creator>openpyxl</dc:creator>
  <dc:description/>
  <dc:language>en-US</dc:language>
  <cp:lastModifiedBy/>
  <dcterms:modified xsi:type="dcterms:W3CDTF">2026-06-04T23:39:34Z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