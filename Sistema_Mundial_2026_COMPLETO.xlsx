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alejandroorihuela/Library/Application Support/Claude/local-agent-mode-sessions/228f998c-1700-4364-9fdd-0afe292c76d4/66bb9c13-fcf9-4c34-893b-7066d906f05e/local_506fc8db-95c5-4961-949d-a4a560d91e56/outputs/"/>
    </mc:Choice>
  </mc:AlternateContent>
  <xr:revisionPtr revIDLastSave="0" documentId="13_ncr:1_{5045E9C0-7205-2C43-899E-9E089693F0A8}" xr6:coauthVersionLast="47" xr6:coauthVersionMax="47" xr10:uidLastSave="{00000000-0000-0000-0000-000000000000}"/>
  <bookViews>
    <workbookView xWindow="0" yWindow="660" windowWidth="27300" windowHeight="19620" tabRatio="500" activeTab="3" xr2:uid="{00000000-000D-0000-FFFF-FFFF00000000}"/>
  </bookViews>
  <sheets>
    <sheet name="Portada" sheetId="1" r:id="rId1"/>
    <sheet name="Inicio · Resumen" sheetId="2" r:id="rId2"/>
    <sheet name="Inicio · Combinadas" sheetId="3" r:id="rId3"/>
    <sheet name="Inicio · Cobertura" sheetId="4" r:id="rId4"/>
    <sheet name="Kelly · Por día" sheetId="5" r:id="rId5"/>
    <sheet name="Kelly · Comparación" sheetId="6" r:id="rId6"/>
    <sheet name="Kelly ½ · gana todo" sheetId="7" r:id="rId7"/>
    <sheet name="Kelly ⅔ · gana todo" sheetId="8" r:id="rId8"/>
    <sheet name="Kelly 100% · gana todo" sheetId="9" r:id="rId9"/>
    <sheet name="5000 · Resumen y riesgo" sheetId="10" r:id="rId10"/>
    <sheet name="5000 · Detalle" sheetId="11" r:id="rId11"/>
    <sheet name="5000 · Mapa" sheetId="12" r:id="rId12"/>
    <sheet name="Kelly · Percentiles" sheetId="13" r:id="rId13"/>
    <sheet name="Segura · Resumen" sheetId="14" r:id="rId14"/>
    <sheet name="Segura · Detalle" sheetId="15" r:id="rId15"/>
    <sheet name="Segura · Mapa" sheetId="16" r:id="rId1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0" l="1"/>
  <c r="E25" i="10"/>
  <c r="D25" i="10"/>
  <c r="E24" i="10"/>
  <c r="D24" i="10"/>
  <c r="E23" i="10"/>
  <c r="D23" i="10"/>
  <c r="E22" i="10"/>
  <c r="D22" i="10"/>
  <c r="E21" i="10"/>
  <c r="D21" i="10"/>
  <c r="E20" i="10"/>
  <c r="D20" i="10"/>
  <c r="E19" i="10"/>
  <c r="D19" i="10"/>
  <c r="E18" i="10"/>
  <c r="D18" i="10"/>
  <c r="E17" i="10"/>
  <c r="D17" i="10"/>
  <c r="E16" i="10"/>
  <c r="D16" i="10"/>
  <c r="E15" i="10"/>
  <c r="D15" i="10"/>
  <c r="E14" i="10"/>
  <c r="D14" i="10"/>
  <c r="E13" i="10"/>
  <c r="D13" i="10"/>
  <c r="E12" i="10"/>
  <c r="D12" i="10"/>
  <c r="E11" i="10"/>
  <c r="D11" i="10"/>
  <c r="E10" i="10"/>
  <c r="D10" i="10"/>
  <c r="E9" i="10"/>
  <c r="D9" i="10"/>
  <c r="E8" i="10"/>
  <c r="D8" i="10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G8" i="9"/>
  <c r="F8" i="9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G8" i="8"/>
  <c r="F8" i="8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G8" i="7"/>
  <c r="F8" i="7"/>
  <c r="D268" i="5"/>
  <c r="C271" i="5" s="1"/>
  <c r="D267" i="5"/>
  <c r="D251" i="5"/>
  <c r="C256" i="5" s="1"/>
  <c r="D250" i="5"/>
  <c r="C254" i="5" s="1"/>
  <c r="C239" i="5"/>
  <c r="D234" i="5"/>
  <c r="C238" i="5" s="1"/>
  <c r="D233" i="5"/>
  <c r="C223" i="5"/>
  <c r="C222" i="5"/>
  <c r="D218" i="5"/>
  <c r="C221" i="5" s="1"/>
  <c r="D217" i="5"/>
  <c r="C205" i="5"/>
  <c r="C204" i="5"/>
  <c r="C203" i="5"/>
  <c r="D200" i="5"/>
  <c r="D199" i="5"/>
  <c r="D181" i="5"/>
  <c r="C186" i="5" s="1"/>
  <c r="D180" i="5"/>
  <c r="D165" i="5"/>
  <c r="C169" i="5" s="1"/>
  <c r="D164" i="5"/>
  <c r="D146" i="5"/>
  <c r="C149" i="5" s="1"/>
  <c r="D145" i="5"/>
  <c r="D130" i="5"/>
  <c r="C135" i="5" s="1"/>
  <c r="D129" i="5"/>
  <c r="C133" i="5" s="1"/>
  <c r="C118" i="5"/>
  <c r="D113" i="5"/>
  <c r="C117" i="5" s="1"/>
  <c r="D112" i="5"/>
  <c r="C102" i="5"/>
  <c r="C101" i="5"/>
  <c r="D97" i="5"/>
  <c r="C100" i="5" s="1"/>
  <c r="D96" i="5"/>
  <c r="C84" i="5"/>
  <c r="C83" i="5"/>
  <c r="C82" i="5"/>
  <c r="D79" i="5"/>
  <c r="D78" i="5"/>
  <c r="D61" i="5"/>
  <c r="C66" i="5" s="1"/>
  <c r="D60" i="5"/>
  <c r="C47" i="5"/>
  <c r="D44" i="5"/>
  <c r="C48" i="5" s="1"/>
  <c r="D43" i="5"/>
  <c r="D28" i="5"/>
  <c r="C31" i="5" s="1"/>
  <c r="D27" i="5"/>
  <c r="D18" i="5"/>
  <c r="D12" i="5"/>
  <c r="D11" i="5"/>
  <c r="C16" i="5" s="1"/>
  <c r="D16" i="5" s="1"/>
  <c r="D10" i="5"/>
  <c r="C14" i="5" s="1"/>
  <c r="D14" i="5" s="1"/>
  <c r="D299" i="3"/>
  <c r="F298" i="3"/>
  <c r="D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98" i="3" s="1"/>
  <c r="E282" i="3"/>
  <c r="E281" i="3"/>
  <c r="E280" i="3"/>
  <c r="E279" i="3"/>
  <c r="E278" i="3"/>
  <c r="F273" i="3"/>
  <c r="D273" i="3"/>
  <c r="D274" i="3" s="1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73" i="3" s="1"/>
  <c r="D249" i="3"/>
  <c r="F248" i="3"/>
  <c r="D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48" i="3" s="1"/>
  <c r="D224" i="3"/>
  <c r="F223" i="3"/>
  <c r="E223" i="3"/>
  <c r="D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F198" i="3"/>
  <c r="D198" i="3"/>
  <c r="D199" i="3" s="1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98" i="3" s="1"/>
  <c r="E178" i="3"/>
  <c r="D174" i="3"/>
  <c r="F173" i="3"/>
  <c r="D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73" i="3" s="1"/>
  <c r="D149" i="3"/>
  <c r="F148" i="3"/>
  <c r="D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48" i="3" s="1"/>
  <c r="E134" i="3"/>
  <c r="E133" i="3"/>
  <c r="E132" i="3"/>
  <c r="E131" i="3"/>
  <c r="E130" i="3"/>
  <c r="E129" i="3"/>
  <c r="E128" i="3"/>
  <c r="F123" i="3"/>
  <c r="D123" i="3"/>
  <c r="D124" i="3" s="1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23" i="3" s="1"/>
  <c r="E105" i="3"/>
  <c r="E104" i="3"/>
  <c r="E103" i="3"/>
  <c r="F98" i="3"/>
  <c r="D98" i="3"/>
  <c r="D99" i="3" s="1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98" i="3" s="1"/>
  <c r="D74" i="3"/>
  <c r="F73" i="3"/>
  <c r="D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73" i="3" s="1"/>
  <c r="D49" i="3"/>
  <c r="F48" i="3"/>
  <c r="E48" i="3"/>
  <c r="D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F23" i="3"/>
  <c r="D23" i="3"/>
  <c r="D24" i="3" s="1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23" i="3" s="1"/>
  <c r="E3" i="3"/>
  <c r="C65" i="5" l="1"/>
  <c r="C168" i="5"/>
  <c r="C185" i="5"/>
  <c r="H8" i="7"/>
  <c r="C32" i="5"/>
  <c r="C49" i="5"/>
  <c r="C150" i="5"/>
  <c r="C170" i="5"/>
  <c r="C272" i="5"/>
  <c r="C64" i="5"/>
  <c r="H8" i="9"/>
  <c r="H8" i="8"/>
  <c r="C15" i="5"/>
  <c r="D15" i="5" s="1"/>
  <c r="C33" i="5"/>
  <c r="C116" i="5"/>
  <c r="C134" i="5"/>
  <c r="C151" i="5"/>
  <c r="C237" i="5"/>
  <c r="C255" i="5"/>
  <c r="C273" i="5"/>
  <c r="D20" i="5"/>
  <c r="D21" i="5" s="1"/>
  <c r="D29" i="5" s="1"/>
  <c r="C184" i="5"/>
  <c r="D31" i="5" l="1"/>
  <c r="D35" i="5"/>
  <c r="D37" i="5" s="1"/>
  <c r="D33" i="5"/>
  <c r="D32" i="5"/>
  <c r="I8" i="7"/>
  <c r="I8" i="8"/>
  <c r="I8" i="9"/>
  <c r="J8" i="8" l="1"/>
  <c r="G9" i="8" s="1"/>
  <c r="J8" i="9"/>
  <c r="G9" i="9" s="1"/>
  <c r="J8" i="7"/>
  <c r="G9" i="7" s="1"/>
  <c r="D38" i="5"/>
  <c r="D45" i="5" s="1"/>
  <c r="D48" i="5" l="1"/>
  <c r="D47" i="5"/>
  <c r="D51" i="5"/>
  <c r="D53" i="5" s="1"/>
  <c r="D49" i="5"/>
  <c r="H9" i="9"/>
  <c r="H9" i="8"/>
  <c r="H9" i="7"/>
  <c r="I9" i="8" l="1"/>
  <c r="I9" i="7"/>
  <c r="I9" i="9"/>
  <c r="D54" i="5"/>
  <c r="D62" i="5" s="1"/>
  <c r="J9" i="7" l="1"/>
  <c r="G10" i="7" s="1"/>
  <c r="D66" i="5"/>
  <c r="D65" i="5"/>
  <c r="D64" i="5"/>
  <c r="D68" i="5"/>
  <c r="D70" i="5" s="1"/>
  <c r="J9" i="9"/>
  <c r="G10" i="9" s="1"/>
  <c r="J9" i="8"/>
  <c r="G10" i="8" s="1"/>
  <c r="H10" i="8" l="1"/>
  <c r="H10" i="9"/>
  <c r="H10" i="7"/>
  <c r="D71" i="5"/>
  <c r="D80" i="5" s="1"/>
  <c r="D86" i="5" l="1"/>
  <c r="D88" i="5" s="1"/>
  <c r="D84" i="5"/>
  <c r="D82" i="5"/>
  <c r="D83" i="5"/>
  <c r="D89" i="5"/>
  <c r="D98" i="5" s="1"/>
  <c r="I10" i="7"/>
  <c r="I10" i="9"/>
  <c r="I10" i="8"/>
  <c r="J10" i="8" l="1"/>
  <c r="G11" i="8" s="1"/>
  <c r="J10" i="9"/>
  <c r="G11" i="9" s="1"/>
  <c r="D101" i="5"/>
  <c r="D100" i="5"/>
  <c r="D104" i="5"/>
  <c r="D106" i="5" s="1"/>
  <c r="D102" i="5"/>
  <c r="J10" i="7"/>
  <c r="G11" i="7" s="1"/>
  <c r="H11" i="7" l="1"/>
  <c r="D107" i="5"/>
  <c r="D114" i="5" s="1"/>
  <c r="H11" i="9"/>
  <c r="H11" i="8"/>
  <c r="I11" i="8" l="1"/>
  <c r="I11" i="9"/>
  <c r="I11" i="7"/>
  <c r="D120" i="5"/>
  <c r="D122" i="5" s="1"/>
  <c r="D117" i="5"/>
  <c r="D118" i="5"/>
  <c r="D116" i="5"/>
  <c r="D123" i="5"/>
  <c r="D131" i="5" s="1"/>
  <c r="J11" i="7" l="1"/>
  <c r="G12" i="7" s="1"/>
  <c r="D135" i="5"/>
  <c r="D137" i="5"/>
  <c r="D139" i="5" s="1"/>
  <c r="D134" i="5"/>
  <c r="D140" i="5"/>
  <c r="D147" i="5" s="1"/>
  <c r="D133" i="5"/>
  <c r="J11" i="9"/>
  <c r="G12" i="9" s="1"/>
  <c r="J11" i="8"/>
  <c r="G12" i="8" s="1"/>
  <c r="H12" i="7" l="1"/>
  <c r="H12" i="8"/>
  <c r="H12" i="9"/>
  <c r="D149" i="5"/>
  <c r="D153" i="5"/>
  <c r="D155" i="5" s="1"/>
  <c r="D151" i="5"/>
  <c r="D150" i="5"/>
  <c r="D156" i="5" l="1"/>
  <c r="D166" i="5" s="1"/>
  <c r="I12" i="9"/>
  <c r="I12" i="8"/>
  <c r="I12" i="7"/>
  <c r="J12" i="7" l="1"/>
  <c r="G13" i="7" s="1"/>
  <c r="J12" i="8"/>
  <c r="G13" i="8" s="1"/>
  <c r="J12" i="9"/>
  <c r="G13" i="9" s="1"/>
  <c r="D169" i="5"/>
  <c r="D168" i="5"/>
  <c r="D172" i="5"/>
  <c r="D174" i="5" s="1"/>
  <c r="D170" i="5"/>
  <c r="H13" i="8" l="1"/>
  <c r="I13" i="8" s="1"/>
  <c r="J13" i="8"/>
  <c r="G14" i="8" s="1"/>
  <c r="H13" i="9"/>
  <c r="I13" i="9" s="1"/>
  <c r="J13" i="9"/>
  <c r="G14" i="9" s="1"/>
  <c r="H13" i="7"/>
  <c r="I13" i="7" s="1"/>
  <c r="J13" i="7" s="1"/>
  <c r="G14" i="7" s="1"/>
  <c r="D175" i="5"/>
  <c r="D182" i="5" s="1"/>
  <c r="H14" i="7" l="1"/>
  <c r="I14" i="7" s="1"/>
  <c r="J14" i="7"/>
  <c r="G15" i="7" s="1"/>
  <c r="H14" i="9"/>
  <c r="I14" i="9" s="1"/>
  <c r="J14" i="9" s="1"/>
  <c r="G15" i="9" s="1"/>
  <c r="D186" i="5"/>
  <c r="D185" i="5"/>
  <c r="D184" i="5"/>
  <c r="D188" i="5"/>
  <c r="D190" i="5" s="1"/>
  <c r="J14" i="8"/>
  <c r="G15" i="8" s="1"/>
  <c r="H14" i="8"/>
  <c r="I14" i="8" s="1"/>
  <c r="H15" i="9" l="1"/>
  <c r="I15" i="9" s="1"/>
  <c r="J15" i="9" s="1"/>
  <c r="G16" i="9" s="1"/>
  <c r="D191" i="5"/>
  <c r="D201" i="5" s="1"/>
  <c r="H15" i="7"/>
  <c r="I15" i="7" s="1"/>
  <c r="J15" i="7" s="1"/>
  <c r="G16" i="7" s="1"/>
  <c r="H15" i="8"/>
  <c r="I15" i="8" s="1"/>
  <c r="J15" i="8" s="1"/>
  <c r="G16" i="8" s="1"/>
  <c r="H16" i="8" l="1"/>
  <c r="I16" i="8" s="1"/>
  <c r="J16" i="8"/>
  <c r="G17" i="8" s="1"/>
  <c r="H16" i="7"/>
  <c r="I16" i="7" s="1"/>
  <c r="J16" i="7"/>
  <c r="G17" i="7" s="1"/>
  <c r="H16" i="9"/>
  <c r="I16" i="9" s="1"/>
  <c r="J16" i="9"/>
  <c r="G17" i="9" s="1"/>
  <c r="D207" i="5"/>
  <c r="D209" i="5" s="1"/>
  <c r="D205" i="5"/>
  <c r="D203" i="5"/>
  <c r="D204" i="5"/>
  <c r="D210" i="5"/>
  <c r="D219" i="5" s="1"/>
  <c r="D221" i="5" l="1"/>
  <c r="D222" i="5"/>
  <c r="D223" i="5"/>
  <c r="D225" i="5"/>
  <c r="D227" i="5" s="1"/>
  <c r="H17" i="9"/>
  <c r="I17" i="9" s="1"/>
  <c r="J17" i="9" s="1"/>
  <c r="G18" i="9" s="1"/>
  <c r="H17" i="7"/>
  <c r="I17" i="7" s="1"/>
  <c r="J17" i="7" s="1"/>
  <c r="G18" i="7" s="1"/>
  <c r="H17" i="8"/>
  <c r="I17" i="8" s="1"/>
  <c r="J17" i="8"/>
  <c r="G18" i="8" s="1"/>
  <c r="H18" i="7" l="1"/>
  <c r="I18" i="7" s="1"/>
  <c r="J18" i="7" s="1"/>
  <c r="G19" i="7" s="1"/>
  <c r="J18" i="9"/>
  <c r="G19" i="9" s="1"/>
  <c r="H18" i="9"/>
  <c r="I18" i="9" s="1"/>
  <c r="J18" i="8"/>
  <c r="G19" i="8" s="1"/>
  <c r="H18" i="8"/>
  <c r="I18" i="8" s="1"/>
  <c r="D228" i="5"/>
  <c r="D235" i="5" s="1"/>
  <c r="H19" i="7" l="1"/>
  <c r="I19" i="7" s="1"/>
  <c r="J19" i="7" s="1"/>
  <c r="G20" i="7" s="1"/>
  <c r="H19" i="8"/>
  <c r="I19" i="8" s="1"/>
  <c r="J19" i="8"/>
  <c r="G20" i="8" s="1"/>
  <c r="H19" i="9"/>
  <c r="I19" i="9" s="1"/>
  <c r="J19" i="9" s="1"/>
  <c r="G20" i="9" s="1"/>
  <c r="D239" i="5"/>
  <c r="D238" i="5"/>
  <c r="D237" i="5"/>
  <c r="D241" i="5"/>
  <c r="D243" i="5" s="1"/>
  <c r="D244" i="5" s="1"/>
  <c r="D252" i="5" s="1"/>
  <c r="H20" i="9" l="1"/>
  <c r="I20" i="9" s="1"/>
  <c r="J20" i="9"/>
  <c r="G21" i="9" s="1"/>
  <c r="D256" i="5"/>
  <c r="D258" i="5"/>
  <c r="D260" i="5" s="1"/>
  <c r="D255" i="5"/>
  <c r="D254" i="5"/>
  <c r="H20" i="7"/>
  <c r="I20" i="7" s="1"/>
  <c r="J20" i="7" s="1"/>
  <c r="G21" i="7" s="1"/>
  <c r="H20" i="8"/>
  <c r="I20" i="8" s="1"/>
  <c r="J20" i="8"/>
  <c r="G21" i="8" s="1"/>
  <c r="H21" i="7" l="1"/>
  <c r="I21" i="7" s="1"/>
  <c r="J21" i="7"/>
  <c r="G22" i="7" s="1"/>
  <c r="H21" i="8"/>
  <c r="I21" i="8" s="1"/>
  <c r="J21" i="8"/>
  <c r="G22" i="8" s="1"/>
  <c r="H21" i="9"/>
  <c r="I21" i="9" s="1"/>
  <c r="J21" i="9" s="1"/>
  <c r="G22" i="9" s="1"/>
  <c r="D261" i="5"/>
  <c r="D269" i="5" s="1"/>
  <c r="H22" i="9" l="1"/>
  <c r="I22" i="9" s="1"/>
  <c r="J22" i="9"/>
  <c r="G23" i="9" s="1"/>
  <c r="D271" i="5"/>
  <c r="D278" i="5"/>
  <c r="D280" i="5" s="1"/>
  <c r="D275" i="5"/>
  <c r="D277" i="5" s="1"/>
  <c r="D273" i="5"/>
  <c r="D272" i="5"/>
  <c r="J22" i="8"/>
  <c r="G23" i="8" s="1"/>
  <c r="H22" i="8"/>
  <c r="I22" i="8" s="1"/>
  <c r="H22" i="7"/>
  <c r="I22" i="7" s="1"/>
  <c r="J22" i="7" s="1"/>
  <c r="G23" i="7" s="1"/>
  <c r="H23" i="7" l="1"/>
  <c r="H23" i="8"/>
  <c r="H23" i="9"/>
  <c r="I23" i="9" l="1"/>
  <c r="H24" i="9"/>
  <c r="I23" i="8"/>
  <c r="H24" i="8"/>
  <c r="I23" i="7"/>
  <c r="H24" i="7"/>
  <c r="I24" i="7" l="1"/>
  <c r="J23" i="7"/>
  <c r="J24" i="7" s="1"/>
  <c r="I24" i="8"/>
  <c r="J23" i="8"/>
  <c r="J24" i="8" s="1"/>
  <c r="I24" i="9"/>
  <c r="J23" i="9"/>
  <c r="J24" i="9" s="1"/>
</calcChain>
</file>

<file path=xl/sharedStrings.xml><?xml version="1.0" encoding="utf-8"?>
<sst xmlns="http://schemas.openxmlformats.org/spreadsheetml/2006/main" count="3245" uniqueCount="581">
  <si>
    <t>SISTEMA DE APUESTAS · MUNDIAL 2026</t>
  </si>
  <si>
    <t>Cuatro estrategias en un archivo. Abajo: cuánto inviertes, cuánto puedes ganar y dónde conviene poner el dinero.</t>
  </si>
  <si>
    <t>INVERSIÓN Y GANANCIA POR ESTRATEGIA</t>
  </si>
  <si>
    <t>Estrategia</t>
  </si>
  <si>
    <t>Inversión</t>
  </si>
  <si>
    <t>Si TODO sale bien</t>
  </si>
  <si>
    <t>Resultado esperado</t>
  </si>
  <si>
    <t>Riesgo / nota</t>
  </si>
  <si>
    <t>1 · Combinadas iniciales</t>
  </si>
  <si>
    <t>S/ 240</t>
  </si>
  <si>
    <t>+S/ 46,283</t>
  </si>
  <si>
    <t>+S/ 683 a +S/ 2,848 / ronda (según tu confianza)</t>
  </si>
  <si>
    <t>ALTO — cada combinada necesita 20 aciertos; a cuotas de mercado queda en break-even.</t>
  </si>
  <si>
    <t>2 · Kelly (por día)</t>
  </si>
  <si>
    <t>Banca a tu elección (ej. S/ 100)</t>
  </si>
  <si>
    <t>La banca crece cada día</t>
  </si>
  <si>
    <t>Mediana ×2.2 (½), ×2.6 (⅔), ×3.1 (100%) en 16 días; ganas 79–88% de los casos</t>
  </si>
  <si>
    <t>BAJO-MEDIO — único método diseñado para NO quebrar.</t>
  </si>
  <si>
    <t>3 · Combinadas +S/ 5,000</t>
  </si>
  <si>
    <t>S/ 540  (18 × S/ 30)</t>
  </si>
  <si>
    <t>+S/ 5,000 por cada acierto</t>
  </si>
  <si>
    <t>+S/ 4,366 promedio, pero solo 35% de prob. de ganar algo</t>
  </si>
  <si>
    <t>MUY ALTO — lo más probable: perder casi todo. Billete de lotería con ventaja.</t>
  </si>
  <si>
    <t>4 · Combinada Segura (Betsson)</t>
  </si>
  <si>
    <t>S/ 720  (12 × S/ 60)</t>
  </si>
  <si>
    <t>+S/ 7,631  (las 12 ganan)</t>
  </si>
  <si>
    <t>+S/ 2,229 (EV con el seguro). Si falla 1 pata por combinada, te la reembolsan</t>
  </si>
  <si>
    <t>MEDIO — el seguro convierte un fallo en empate.</t>
  </si>
  <si>
    <t>Inversión total (sin contar Kelly)</t>
  </si>
  <si>
    <t>S/ 1,500</t>
  </si>
  <si>
    <t>240 + 540 + 720. Kelly aparte porque usa una banca, no un ticket fijo.</t>
  </si>
  <si>
    <t>RECOMENDACIÓN — ¿dónde poner el dinero?</t>
  </si>
  <si>
    <t>Crecer sin quebrar → KELLY (½ o ⅔).</t>
  </si>
  <si>
    <t>Es la única estrategia pensada para sobrevivir las rachas malas: apuesta un % de la banca, nunca todo. Lo más sólido si quieres que el dinero dure y crezca.</t>
  </si>
  <si>
    <t>Aprovechar la promo con riesgo acotado → COMBINADA SEGURA.</t>
  </si>
  <si>
    <t>El reembolso de Betsson convierte el fallo de 1 pata en empate, así que el riesgo real es menor que el que sugiere su pago. Buen segundo lugar.</t>
  </si>
  <si>
    <t>Solo diversión → COMBINADAS DE +S/ 5,000.</t>
  </si>
  <si>
    <t>Billetes de lotería con ventaja: mete poco (asume que esos S/540 los puedes perder). El premio gordo paga, pero lo más probable es no acertar.</t>
  </si>
  <si>
    <t>Combinadas iniciales → solo si confías de verdad en tus probabilidades.</t>
  </si>
  <si>
    <t>A cuotas de mercado quedan en break-even; su valor depende por completo de que tu lectura sea mejor que la de la casa.</t>
  </si>
  <si>
    <t>Reparto ilustrativo (si tuvieras S/ 1,000):</t>
  </si>
  <si>
    <t>~S/ 400 a Kelly, ~S/ 500 a la Combinada Segura, ~S/ 100 a una de las +S/ 5,000. Ajusta a tu tolerancia al riesgo.</t>
  </si>
  <si>
    <t>No soy asesor financiero: esto es información para que decidas tú. Apuesta solo lo que puedas permitirte perder.</t>
  </si>
  <si>
    <t>ÍNDICE DE HOJAS</t>
  </si>
  <si>
    <t>1 · LAS COMBINADAS INICIALES</t>
  </si>
  <si>
    <t>Inicio · Resumen</t>
  </si>
  <si>
    <t>Visión general del primer sistema de combinadas.</t>
  </si>
  <si>
    <t>Inicio · Combinadas</t>
  </si>
  <si>
    <t>Las combinadas armadas al principio, con prob. de la cuota y la tuya.</t>
  </si>
  <si>
    <t>Inicio · Cobertura</t>
  </si>
  <si>
    <t>Qué partidos cubre cada combinada.</t>
  </si>
  <si>
    <t>2 · KELLY</t>
  </si>
  <si>
    <t>Kelly · Por día</t>
  </si>
  <si>
    <t>Combinada por día con la sugerencia de Kelly ½, ⅔ y 100%.</t>
  </si>
  <si>
    <t>Kelly · Comparación</t>
  </si>
  <si>
    <t>½ vs ⅔ vs 100%: mediana, prob. de ganar, de quebrar, P10, P90.</t>
  </si>
  <si>
    <t>Kelly · Percentiles</t>
  </si>
  <si>
    <t>Distribución P10–P90 de la banca final para los 3 Kelly.</t>
  </si>
  <si>
    <t>Kelly ½/⅔/100% · gana todo</t>
  </si>
  <si>
    <t>Trayectoria de la banca si ganas siempre con cada fracción.</t>
  </si>
  <si>
    <t>3 · COMBINADAS DE +S/ 5,000</t>
  </si>
  <si>
    <t>5000 · Resumen y riesgo</t>
  </si>
  <si>
    <t>18 combinadas de S/30 que pagan +S/5,000, con su análisis de riesgo.</t>
  </si>
  <si>
    <t>5000 · Detalle</t>
  </si>
  <si>
    <t>Los partidos que forman cada una de las 18 combinadas.</t>
  </si>
  <si>
    <t>5000 · Mapa</t>
  </si>
  <si>
    <t>Mapa visual de diversificación.</t>
  </si>
  <si>
    <t>4 · COMBINADA SEGURA (BETSSON)</t>
  </si>
  <si>
    <t>Segura · Resumen</t>
  </si>
  <si>
    <t>12 combinadas de S/60 con el reembolso de Betsson + diversificación.</t>
  </si>
  <si>
    <t>Segura · Detalle</t>
  </si>
  <si>
    <t>Los 5 partidos de cada una de las 12 combinadas seguras.</t>
  </si>
  <si>
    <t>Segura · Mapa</t>
  </si>
  <si>
    <t>Mapa de diversificación + ganancia por combinada apostando S/60.</t>
  </si>
  <si>
    <t>Mundial 2026 — Combinadas con cobertura</t>
  </si>
  <si>
    <t>12 combinadas de 20 partidos · S/20 cada una · S/240 total</t>
  </si>
  <si>
    <t>Cómo funciona la cobertura</t>
  </si>
  <si>
    <t>• Los 41 picks se reparten en 12 combinadas distintas según tu nivel de confianza.</t>
  </si>
  <si>
    <t>• AA (alta-alta) aparecen en 9 de 12 combinadas; A (alta) en 5-6; M (media) solo en 2.</t>
  </si>
  <si>
    <t>• Cada partido queda FUERA de al menos 3 combinadas, así un fallo aislado no mata todo.</t>
  </si>
  <si>
    <t>• OJO: cada combinada necesita que sus 20 patas acierten. La cobertura ayuda contra fallos sueltos, no contra varios a la vez.</t>
  </si>
  <si>
    <t>Escenarios (simulación Monte Carlo, 200k rondas)</t>
  </si>
  <si>
    <t>Escenario</t>
  </si>
  <si>
    <t>P(que alguna gane)</t>
  </si>
  <si>
    <t>Retorno promedio/ronda</t>
  </si>
  <si>
    <t>Neto promedio/ronda</t>
  </si>
  <si>
    <t>Optimista (tus niveles: AA92 A85 M75)</t>
  </si>
  <si>
    <t>37.2%</t>
  </si>
  <si>
    <t>S/ 3,088</t>
  </si>
  <si>
    <t>S/ +2,848</t>
  </si>
  <si>
    <t>Mercado (prob = 1/cuota, lo que cree la casa)</t>
  </si>
  <si>
    <t>5.3%</t>
  </si>
  <si>
    <t>S/ 237</t>
  </si>
  <si>
    <t>S/ -3</t>
  </si>
  <si>
    <t>Realista (promedio de los dos)</t>
  </si>
  <si>
    <t>15.6%</t>
  </si>
  <si>
    <t>S/ 923</t>
  </si>
  <si>
    <t>S/ +683</t>
  </si>
  <si>
    <t>Lectura honesta: si tus probabilidades reales son tan altas como crees, el conjunto es muy rentable.</t>
  </si>
  <si>
    <t>Si se parecen a lo que cree la casa (cuotas), el resultado es prácticamente break-even o pérdida. La verdad suele estar en medio.</t>
  </si>
  <si>
    <t>Fallos esperados de tus 41 picks (escenario optimista): ~6.14</t>
  </si>
  <si>
    <t>COMBINADA 1  ·  S/20</t>
  </si>
  <si>
    <t>#</t>
  </si>
  <si>
    <t>Pick</t>
  </si>
  <si>
    <t>Partido</t>
  </si>
  <si>
    <t>Cuota</t>
  </si>
  <si>
    <t>Prob. de la cuota</t>
  </si>
  <si>
    <t>Mi prob.</t>
  </si>
  <si>
    <t>Suiza gana</t>
  </si>
  <si>
    <t>Catar vs Suiza</t>
  </si>
  <si>
    <t>Turquía gana</t>
  </si>
  <si>
    <t>Australia vs Turquía</t>
  </si>
  <si>
    <t>Alemania gana</t>
  </si>
  <si>
    <t>Alemania vs Curazao</t>
  </si>
  <si>
    <t>España gana</t>
  </si>
  <si>
    <t>España vs Cabo Verde</t>
  </si>
  <si>
    <t>Noruega gana</t>
  </si>
  <si>
    <t>Irak vs Noruega</t>
  </si>
  <si>
    <t>Argentina gana</t>
  </si>
  <si>
    <t>Argentina vs Argelia</t>
  </si>
  <si>
    <t>Austria gana</t>
  </si>
  <si>
    <t>Austria vs Jordan</t>
  </si>
  <si>
    <t>Portugal gana</t>
  </si>
  <si>
    <t>Portugal vs RD Congo</t>
  </si>
  <si>
    <t>Ghana o empate (1X)</t>
  </si>
  <si>
    <t>Ghana vs Panamá</t>
  </si>
  <si>
    <t>Rep. Checa o empate (1X)</t>
  </si>
  <si>
    <t>Rep. Checa vs Sudáfrica</t>
  </si>
  <si>
    <t>Suiza o empate (1X)</t>
  </si>
  <si>
    <t>Suiza vs Bosnia</t>
  </si>
  <si>
    <t>Brasil gana</t>
  </si>
  <si>
    <t>Brasil vs Haití</t>
  </si>
  <si>
    <t>Ecuador gana</t>
  </si>
  <si>
    <t>Ecuador vs Curazao</t>
  </si>
  <si>
    <t>Francia gana</t>
  </si>
  <si>
    <t>Francia vs Irak</t>
  </si>
  <si>
    <t>Portugal vs Uzbekistán</t>
  </si>
  <si>
    <t>Escocia vs Brasil</t>
  </si>
  <si>
    <t>Marruecos gana</t>
  </si>
  <si>
    <t>Marruecos vs Haití</t>
  </si>
  <si>
    <t>Bélgica gana</t>
  </si>
  <si>
    <t>Nueva Zelanda vs Bélgica</t>
  </si>
  <si>
    <t>Inglaterra gana</t>
  </si>
  <si>
    <t>Panamá vs Inglaterra</t>
  </si>
  <si>
    <t>Jordan vs Argentina</t>
  </si>
  <si>
    <t>Cuota total</t>
  </si>
  <si>
    <t>Pago potencial (S/20)</t>
  </si>
  <si>
    <t>COMBINADA 2  ·  S/20</t>
  </si>
  <si>
    <t>México gana</t>
  </si>
  <si>
    <t>México vs Sudáfrica</t>
  </si>
  <si>
    <t>Colombia gana</t>
  </si>
  <si>
    <t>Uzbekistán vs Colombia</t>
  </si>
  <si>
    <t>Escocia vs Marruecos</t>
  </si>
  <si>
    <t>COMBINADA 3  ·  S/20</t>
  </si>
  <si>
    <t>España vs Arabia Saudita</t>
  </si>
  <si>
    <t>Egipto o empate (2X)</t>
  </si>
  <si>
    <t>Nueva Zelanda vs Egipto</t>
  </si>
  <si>
    <t>Inglaterra vs Ghana</t>
  </si>
  <si>
    <t>Croacia gana</t>
  </si>
  <si>
    <t>Panamá vs Croacia</t>
  </si>
  <si>
    <t>COMBINADA 4  ·  S/20</t>
  </si>
  <si>
    <t>Japón o empate (2X)</t>
  </si>
  <si>
    <t>Túnez vs Japón</t>
  </si>
  <si>
    <t>Bélgica vs Irán</t>
  </si>
  <si>
    <t>Colombia vs RD Congo</t>
  </si>
  <si>
    <t>Corea del Sur o empate (2X)</t>
  </si>
  <si>
    <t>Sudáfrica vs Corea del Sur</t>
  </si>
  <si>
    <t>Costa de Marfil gana</t>
  </si>
  <si>
    <t>Curazao vs Costa de Marfil</t>
  </si>
  <si>
    <t>COMBINADA 5  ·  S/20</t>
  </si>
  <si>
    <t>COMBINADA 6  ·  S/20</t>
  </si>
  <si>
    <t>COMBINADA 7  ·  S/20</t>
  </si>
  <si>
    <t>COMBINADA 8  ·  S/20</t>
  </si>
  <si>
    <t>Senegal gana</t>
  </si>
  <si>
    <t>Senegal vs Irak</t>
  </si>
  <si>
    <t>COMBINADA 9  ·  S/20</t>
  </si>
  <si>
    <t>Francia vs Senegal</t>
  </si>
  <si>
    <t>COMBINADA 10  ·  S/20</t>
  </si>
  <si>
    <t>Escocia gana</t>
  </si>
  <si>
    <t>Haití vs Escocia</t>
  </si>
  <si>
    <t>Bélgica o empate (1X)</t>
  </si>
  <si>
    <t>Bélgica vs Egipto</t>
  </si>
  <si>
    <t>Uruguay gana</t>
  </si>
  <si>
    <t>Arabia Saudita vs Uruguay</t>
  </si>
  <si>
    <t>EE.UU. o empate (1X)</t>
  </si>
  <si>
    <t>EE.UU. vs Australia</t>
  </si>
  <si>
    <t>Uruguay vs Cabo Verde</t>
  </si>
  <si>
    <t>Argentina vs Austria</t>
  </si>
  <si>
    <t>Argelia o empate (2X)</t>
  </si>
  <si>
    <t>Jordan vs Argelia</t>
  </si>
  <si>
    <t>COMBINADA 11  ·  S/20</t>
  </si>
  <si>
    <t>COMBINADA 12  ·  S/20</t>
  </si>
  <si>
    <t>X = el pick está en esa combinada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</si>
  <si>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</si>
  <si>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</si>
  <si>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</si>
  <si>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</si>
  <si>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</si>
  <si>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</si>
  <si>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</si>
  <si>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</si>
  <si>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</si>
  <si>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</si>
  <si>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</si>
  <si>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</si>
  <si>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X</t>
  </si>
  <si>
    <t>COMBINADAS POR DÍA — Mundial 2026</t>
  </si>
  <si>
    <t>Una combinada por día (solo picks con valor). Montos calculados reinvirtiendo el 100% y asumiendo que ganas. Edita el % o el ¿Ganó? cuando quieras.</t>
  </si>
  <si>
    <t>Banca inicial (edítala):</t>
  </si>
  <si>
    <t>DÍA 1  ·  11/06   —   Combinada de 1 partido</t>
  </si>
  <si>
    <t>Partido  ·  Pick</t>
  </si>
  <si>
    <t>Mi P</t>
  </si>
  <si>
    <t>México vs Sudáfrica  →  México gana</t>
  </si>
  <si>
    <t>Cuota combinada</t>
  </si>
  <si>
    <t>Prob. combinada (tus P)</t>
  </si>
  <si>
    <t>Banca inicio del día</t>
  </si>
  <si>
    <t>Sugerencia Kelly</t>
  </si>
  <si>
    <t>% banca</t>
  </si>
  <si>
    <t>Monto</t>
  </si>
  <si>
    <t>½ Kelly (seguro)</t>
  </si>
  <si>
    <t>⅔ Kelly (medio)</t>
  </si>
  <si>
    <t>Kelly 100% (agresivo)</t>
  </si>
  <si>
    <t>% a apostar  (EDITABLE)</t>
  </si>
  <si>
    <t>Monto apostado</t>
  </si>
  <si>
    <t>¿Ganó la combinada?  (EDITABLE 1/0)</t>
  </si>
  <si>
    <t>Retorno</t>
  </si>
  <si>
    <t>BANCA CIERRE DEL DÍA</t>
  </si>
  <si>
    <t>DÍA 2  ·  13/06   —   Combinada de 2 partidos</t>
  </si>
  <si>
    <t>Catar vs Suiza  →  Suiza gana</t>
  </si>
  <si>
    <t>Australia vs Turquía  →  Turquía gana</t>
  </si>
  <si>
    <t>DÍA 3  ·  14/06   —   Combinada de 1 partido</t>
  </si>
  <si>
    <t>Alemania vs Curazao  →  Alemania gana</t>
  </si>
  <si>
    <t>DÍA 4  ·  15/06   —   Combinada de 2 partidos</t>
  </si>
  <si>
    <t>España vs Cabo Verde  →  España gana</t>
  </si>
  <si>
    <t>Arabia Saudita vs Uruguay  →  Uruguay gana</t>
  </si>
  <si>
    <t>DÍA 5  ·  16/06   —   Combinada de 3 partidos</t>
  </si>
  <si>
    <t>Francia vs Senegal  →  Francia gana</t>
  </si>
  <si>
    <t>Irak vs Noruega  →  Noruega gana</t>
  </si>
  <si>
    <t>Austria vs Jordan  →  Austria gana</t>
  </si>
  <si>
    <t>DÍA 6  ·  17/06   —   Combinada de 3 partidos</t>
  </si>
  <si>
    <t>Portugal vs RD Congo  →  Portugal gana</t>
  </si>
  <si>
    <t>Ghana vs Panamá  →  Ghana 1X</t>
  </si>
  <si>
    <t>Uzbekistán vs Colombia  →  Colombia gana</t>
  </si>
  <si>
    <t>DÍA 7  ·  18/06   —   Combinada de 1 partido</t>
  </si>
  <si>
    <t>Rep. Checa vs Sudáfrica  →  Rep. Checa 1X</t>
  </si>
  <si>
    <t>DÍA 8  ·  19/06   —   Combinada de 2 partidos</t>
  </si>
  <si>
    <t>Escocia vs Marruecos  →  Marruecos gana</t>
  </si>
  <si>
    <t>Brasil vs Haití  →  Brasil gana</t>
  </si>
  <si>
    <t>DÍA 9  ·  20/06   —   Combinada de 1 partido</t>
  </si>
  <si>
    <t>Ecuador vs Curazao  →  Ecuador gana</t>
  </si>
  <si>
    <t>DÍA 10  ·  21/06   —   Combinada de 4 partidos</t>
  </si>
  <si>
    <t>España vs Arabia Saudita  →  España gana</t>
  </si>
  <si>
    <t>Bélgica vs Irán  →  Bélgica gana</t>
  </si>
  <si>
    <t>Uruguay vs Cabo Verde  →  Uruguay gana</t>
  </si>
  <si>
    <t>Nueva Zelanda vs Egipto  →  Egipto 2X</t>
  </si>
  <si>
    <t>DÍA 11  ·  22/06   —   Combinada de 1 partido</t>
  </si>
  <si>
    <t>Francia vs Irak  →  Francia gana</t>
  </si>
  <si>
    <t>DÍA 12  ·  23/06   —   Combinada de 4 partidos</t>
  </si>
  <si>
    <t>Portugal vs Uzbekistán  →  Portugal gana</t>
  </si>
  <si>
    <t>Inglaterra vs Ghana  →  Inglaterra gana</t>
  </si>
  <si>
    <t>Panamá vs Croacia  →  Croacia gana</t>
  </si>
  <si>
    <t>Colombia vs RD Congo  →  Colombia gana</t>
  </si>
  <si>
    <t>DÍA 13  ·  24/06   —   Combinada de 3 partidos</t>
  </si>
  <si>
    <t>Escocia vs Brasil  →  Brasil gana</t>
  </si>
  <si>
    <t>Marruecos vs Haití  →  Marruecos gana</t>
  </si>
  <si>
    <t>Sudáfrica vs Corea del Sur  →  Corea 2X</t>
  </si>
  <si>
    <t>DÍA 14  ·  25/06   —   Combinada de 1 partido</t>
  </si>
  <si>
    <t>Curazao vs Costa de Marfil  →  C. Marfil gana</t>
  </si>
  <si>
    <t>DÍA 15  ·  26/06   —   Combinada de 2 partidos</t>
  </si>
  <si>
    <t>Senegal vs Irak  →  Senegal gana</t>
  </si>
  <si>
    <t>Nueva Zelanda vs Bélgica  →  Bélgica gana</t>
  </si>
  <si>
    <t>DÍA 16  ·  27/06   —   Combinada de 2 partidos</t>
  </si>
  <si>
    <t>Panamá vs Inglaterra  →  Inglaterra gana</t>
  </si>
  <si>
    <t>Jordan vs Argentina  →  Argentina gana</t>
  </si>
  <si>
    <t>BANCA FINAL (proyección)</t>
  </si>
  <si>
    <t>Aviso realista: con 100% reinvertido y asumiendo que ganas TODOS los días, la banca se dispara — pero la probabilidad de encadenar los 18 días es ínfima. La columna '½ Kelly' es lo que la matemática sugiere apostar de verdad según tus probabilidades; suele ser mucho menos del 100%. Usa ½ Kelly como guía y baja el % los días de combinada arriesgada.</t>
  </si>
  <si>
    <t>¿QUÉ FRACCIÓN DE KELLY?  —  Combinada por día</t>
  </si>
  <si>
    <t>Apuestas una combinada cada día (16 días), arriesgando una fracción de Kelly de la banca en cada una. 200.000 mundiales simulados con TUS probabilidades, banca inicial S/100.</t>
  </si>
  <si>
    <t>Métrica</t>
  </si>
  <si>
    <t>½ Kelly (conservador)</t>
  </si>
  <si>
    <t>Banca típica (mediana)</t>
  </si>
  <si>
    <t>S/ 219</t>
  </si>
  <si>
    <t>S/ 260</t>
  </si>
  <si>
    <t>S/ 314</t>
  </si>
  <si>
    <t>Prob. de terminar ganando</t>
  </si>
  <si>
    <t>88.2 %</t>
  </si>
  <si>
    <t>85.6 %</t>
  </si>
  <si>
    <t>78.6 %</t>
  </si>
  <si>
    <t>Prob. de quebrar (perder 90%+)</t>
  </si>
  <si>
    <t>0.0 %</t>
  </si>
  <si>
    <t>1.1 %</t>
  </si>
  <si>
    <t>Peor caso (P10)</t>
  </si>
  <si>
    <t>S/ 93</t>
  </si>
  <si>
    <t>S/ 81</t>
  </si>
  <si>
    <t>S/ 48</t>
  </si>
  <si>
    <t>Mejor caso (P90)</t>
  </si>
  <si>
    <t>S/ 462</t>
  </si>
  <si>
    <t>S/ 706</t>
  </si>
  <si>
    <t>S/ 1420</t>
  </si>
  <si>
    <t>Cómo leerlo</t>
  </si>
  <si>
    <t>•  Combinada por día = más riesgo por apuesta que ir partido a partido (multiplicas varias probabilidades), por eso las medianas son algo más bajas y la varianza más alta.</t>
  </si>
  <si>
    <t>•  ½ Kelly: el más estable. Mediana ~S/219, 88% de ganar, 0% de quiebra. El techo más bajo (P90 S/462).</t>
  </si>
  <si>
    <t>•  ⅔ Kelly: sube la mediana a ~S/260 y el mejor caso a ~S/706, sin riesgo de quiebra. Buen balance moderado-agresivo.</t>
  </si>
  <si>
    <t>•  Kelly 100%: mayor crecimiento (mediana ~S/314, P90 S/1.420) pero asoma 1,1% de quiebra y el peor caso cae a S/48.</t>
  </si>
  <si>
    <t>•  Comparado con la Escalera partido a partido, aquí TODO rinde un poco menos: agrupar partidos en una combinada concentra el riesgo. Si quieres máxima estabilidad, la escalera gana; si quieres menos apuestas y más adrenalina, la combinada por día.</t>
  </si>
  <si>
    <t>Recomendación: ⅔ Kelly para tu perfil 'entre moderado y agresivo'. La columna ½ Kelly de la hoja por día ya te da el monto; multiplícalo por 1,33 si quieres ⅔ Kelly.</t>
  </si>
  <si>
    <t>½ KELLY — GANA TODO  ·  combinada por día, asumiendo que GANAS cada día</t>
  </si>
  <si>
    <t>Cada día apuestas SOLO la fracción de Kelly de la banca (no el 100%). El resto queda guardado. Si ganas, sumas la ganancia y rueda al día siguiente.</t>
  </si>
  <si>
    <t>Banca inicial:</t>
  </si>
  <si>
    <t>Día</t>
  </si>
  <si>
    <t>Fecha</t>
  </si>
  <si>
    <t>Cuota comb</t>
  </si>
  <si>
    <t>Prob comb</t>
  </si>
  <si>
    <t>Kelly %</t>
  </si>
  <si>
    <t>Banca inicio</t>
  </si>
  <si>
    <t>Apostado</t>
  </si>
  <si>
    <t>Ganancia</t>
  </si>
  <si>
    <t>Banca cierre</t>
  </si>
  <si>
    <t>11/06</t>
  </si>
  <si>
    <t>13/06</t>
  </si>
  <si>
    <t>14/06</t>
  </si>
  <si>
    <t>15/06</t>
  </si>
  <si>
    <t>16/06</t>
  </si>
  <si>
    <t>17/06</t>
  </si>
  <si>
    <t>18/06</t>
  </si>
  <si>
    <t>19/06</t>
  </si>
  <si>
    <t>20/06</t>
  </si>
  <si>
    <t>21/06</t>
  </si>
  <si>
    <t>22/06</t>
  </si>
  <si>
    <t>23/06</t>
  </si>
  <si>
    <t>24/06</t>
  </si>
  <si>
    <t>25/06</t>
  </si>
  <si>
    <t>26/06</t>
  </si>
  <si>
    <t>27/06</t>
  </si>
  <si>
    <t>BANCA FINAL (si ganas los 16 días)</t>
  </si>
  <si>
    <t>Nota: 'Apostado' es solo la fracción Kelly; el resto de la banca no se arriesga ese día. Por eso crece más lento que apostar el 100%, pero te protege cuando un día falla (este cuadro asume que ganas todos).</t>
  </si>
  <si>
    <t>⅔ KELLY — GANA TODO  ·  combinada por día, asumiendo que GANAS cada día</t>
  </si>
  <si>
    <t>KELLY 100% — GANA TODO  ·  combinada por día, asumiendo que GANAS cada día</t>
  </si>
  <si>
    <t>18 COMBINADAS PARA GANAR +S/5.000  ·  S/30 cada una</t>
  </si>
  <si>
    <t>Cada combinada paga más de S/5.000 de ganancia con solo S/30. Están mezcladas para que si falla 1 o 2 partidos NUNCA se caigan todas, y aún con 3 fallos casi siempre sobrevive alguna. Inversión total: S/540 (18 × S/30).</t>
  </si>
  <si>
    <t>Apuesta por combinada:</t>
  </si>
  <si>
    <t>Cuota comb.</t>
  </si>
  <si>
    <t>Paga (S/)</t>
  </si>
  <si>
    <t>Ganancia (S/)</t>
  </si>
  <si>
    <t>Prob. mía</t>
  </si>
  <si>
    <t>Partidos</t>
  </si>
  <si>
    <t>Inversión total (18 combinadas)</t>
  </si>
  <si>
    <t>Qué tan blindadas están (si fallan partidos)</t>
  </si>
  <si>
    <t>Si falla 1 partido</t>
  </si>
  <si>
    <t>GARANTIZADO: siempre sobreviven varias combinadas. Ningún partido está en todas.</t>
  </si>
  <si>
    <t>Si fallan 2 partidos</t>
  </si>
  <si>
    <t>GARANTIZADO: siempre sobrevive al menos una combinada (probado con las 496 parejas posibles).</t>
  </si>
  <si>
    <t>Si fallan 3 partidos</t>
  </si>
  <si>
    <t>En el 88% de los casos sobrevive al menos una. Solo combinaciones muy puntuales de 3 fallos las tumban todas.</t>
  </si>
  <si>
    <t>Para tumbar las 18</t>
  </si>
  <si>
    <t>Se necesitan al menos 3 partidos fallando a la vez, y justo los que se cruzan. Un par de sorpresas no te deja en cero.</t>
  </si>
  <si>
    <t>La verdad realista (200.000+ mundiales simulados con TUS probabilidades)</t>
  </si>
  <si>
    <t>Costo total</t>
  </si>
  <si>
    <t>S/ 540</t>
  </si>
  <si>
    <t>Lo que pones en las 18 combinadas.</t>
  </si>
  <si>
    <t>Prob. de que AL MENOS una acierte</t>
  </si>
  <si>
    <t>35%</t>
  </si>
  <si>
    <t>Las otras veces (las 18 fallan) pierdes los S/540.</t>
  </si>
  <si>
    <t>Pago bruto esperado</t>
  </si>
  <si>
    <t>S/ 4,906</t>
  </si>
  <si>
    <t>Promedio a largo plazo; en la práctica es 0 o un golpe de +S/5.000.</t>
  </si>
  <si>
    <t>Resultado neto esperado</t>
  </si>
  <si>
    <t>+S/ 4,366</t>
  </si>
  <si>
    <t>Positivo SOLO si tus probabilidades son reales. Si son optimistas, baja.</t>
  </si>
  <si>
    <t>Sé honesto contigo: son combinadas de 14-17 partidos, loterías de premio gordo. Lo más probable (≈65%) es que un mundial cualquiera las tumbe todas y pierdas los S/540. El diseño NO sube tu chance de ganar el premio: reparte el riesgo para que una mala tarde no borre TODO, y para que cada acierto pague +S/5.000. Si buscas crecer la banca de forma estable, las hojas de Escalera/Kelly son mejores; esto es el billete de lotería con ventaja.</t>
  </si>
  <si>
    <t>DETALLE DE CADA COMBINADA  ·  los partidos que la forman</t>
  </si>
  <si>
    <t>COMBINADA #1   ·   cuota 196   ·   paga S/5,868   ·   ganancia S/5,838   ·   16 partidos   ·   prob mía 5.8%</t>
  </si>
  <si>
    <t>Apuesta</t>
  </si>
  <si>
    <t>Mexico vs Sudafrica</t>
  </si>
  <si>
    <t>Mexico gana</t>
  </si>
  <si>
    <t>Australia vs Turquia</t>
  </si>
  <si>
    <t>Turquia gana</t>
  </si>
  <si>
    <t>Belgica vs Iran</t>
  </si>
  <si>
    <t>Belgica gana</t>
  </si>
  <si>
    <t>Portugal vs Uzbekistan</t>
  </si>
  <si>
    <t>Marruecos vs Haiti</t>
  </si>
  <si>
    <t>Sudafrica vs Corea del Sur</t>
  </si>
  <si>
    <t>Corea 2X</t>
  </si>
  <si>
    <t>C. Marfil gana</t>
  </si>
  <si>
    <t>Nueva Zelanda vs Belgica</t>
  </si>
  <si>
    <t>Panama vs Inglaterra</t>
  </si>
  <si>
    <t>Jordania vs Argentina</t>
  </si>
  <si>
    <t>COMBINADA #2   ·   cuota 193   ·   paga S/5,781   ·   ganancia S/5,751   ·   15 partidos   ·   prob mía 6.0%</t>
  </si>
  <si>
    <t>Austria vs Jordania</t>
  </si>
  <si>
    <t>Uzbekistan vs Colombia</t>
  </si>
  <si>
    <t>Panama vs Croacia</t>
  </si>
  <si>
    <t>COMBINADA #3   ·   cuota 188   ·   paga S/5,625   ·   ganancia S/5,595   ·   16 partidos   ·   prob mía 4.9%</t>
  </si>
  <si>
    <t>Espana vs Cabo Verde</t>
  </si>
  <si>
    <t>Espana gana</t>
  </si>
  <si>
    <t>Ghana vs Panama</t>
  </si>
  <si>
    <t>Ghana 1X</t>
  </si>
  <si>
    <t>Rep. Checa vs Sudafrica</t>
  </si>
  <si>
    <t>Rep. Checa 1X</t>
  </si>
  <si>
    <t>COMBINADA #4   ·   cuota 187   ·   paga S/5,622   ·   ganancia S/5,592   ·   16 partidos   ·   prob mía 3.9%</t>
  </si>
  <si>
    <t>Egipto 2X</t>
  </si>
  <si>
    <t>COMBINADA #5   ·   cuota 187   ·   paga S/5,604   ·   ganancia S/5,574   ·   17 partidos   ·   prob mía 5.3%</t>
  </si>
  <si>
    <t>COMBINADA #6   ·   cuota 187   ·   paga S/5,601   ·   ganancia S/5,571   ·   15 partidos   ·   prob mía 4.7%</t>
  </si>
  <si>
    <t>COMBINADA #7   ·   cuota 185   ·   paga S/5,547   ·   ganancia S/5,517   ·   17 partidos   ·   prob mía 5.9%</t>
  </si>
  <si>
    <t>Espana vs Arabia Saudita</t>
  </si>
  <si>
    <t>COMBINADA #8   ·   cuota 182   ·   paga S/5,445   ·   ganancia S/5,415   ·   17 partidos   ·   prob mía 5.7%</t>
  </si>
  <si>
    <t>COMBINADA #9   ·   cuota 181   ·   paga S/5,421   ·   ganancia S/5,391   ·   16 partidos   ·   prob mía 4.1%</t>
  </si>
  <si>
    <t>COMBINADA #10   ·   cuota 176   ·   paga S/5,286   ·   ganancia S/5,256   ·   17 partidos   ·   prob mía 3.6%</t>
  </si>
  <si>
    <t>COMBINADA #11   ·   cuota 174   ·   paga S/5,223   ·   ganancia S/5,193   ·   15 partidos   ·   prob mía 6.2%</t>
  </si>
  <si>
    <t>COMBINADA #12   ·   cuota 173   ·   paga S/5,199   ·   ganancia S/5,169   ·   15 partidos   ·   prob mía 6.1%</t>
  </si>
  <si>
    <t>COMBINADA #13   ·   cuota 172   ·   paga S/5,157   ·   ganancia S/5,127   ·   17 partidos   ·   prob mía 5.9%</t>
  </si>
  <si>
    <t>COMBINADA #14   ·   cuota 172   ·   paga S/5,154   ·   ganancia S/5,124   ·   13 partidos   ·   prob mía 3.8%</t>
  </si>
  <si>
    <t>COMBINADA #15   ·   cuota 171   ·   paga S/5,136   ·   ganancia S/5,106   ·   17 partidos   ·   prob mía 5.6%</t>
  </si>
  <si>
    <t>COMBINADA #16   ·   cuota 171   ·   paga S/5,124   ·   ganancia S/5,094   ·   17 partidos   ·   prob mía 4.6%</t>
  </si>
  <si>
    <t>COMBINADA #17   ·   cuota 171   ·   paga S/5,121   ·   ganancia S/5,091   ·   14 partidos   ·   prob mía 4.6%</t>
  </si>
  <si>
    <t>COMBINADA #18   ·   cuota 170   ·   paga S/5,106   ·   ganancia S/5,076   ·   17 partidos   ·   prob mía 4.3%</t>
  </si>
  <si>
    <t>MAPA DE DIVERSIFICACIÓN  ·  ✓ = el partido está en esa combinada</t>
  </si>
  <si>
    <t>Mira cualquier fila: ningún partido tiene ✓ en todas las columnas. Por eso un fallo nunca tumba las 18.</t>
  </si>
  <si>
    <t>✓</t>
  </si>
  <si>
    <t># partidos →</t>
  </si>
  <si>
    <t>DISTRIBUCIÓN POR PERCENTILES  ·  los 3 Kelly (combinada por día)</t>
  </si>
  <si>
    <t>Banca inicial S/100, 16 días apostando una combinada cada día con la fracción de Kelly indicada. 200,000 mundiales simulados con TUS probabilidades. Cada percentil = % de casos que terminaron por DEBAJO de esa banca.</t>
  </si>
  <si>
    <t>Percentil</t>
  </si>
  <si>
    <t>Banca</t>
  </si>
  <si>
    <t>P10 (peor 10%)</t>
  </si>
  <si>
    <t>P20</t>
  </si>
  <si>
    <t>P30</t>
  </si>
  <si>
    <t>P40</t>
  </si>
  <si>
    <t>P50 (mediana)</t>
  </si>
  <si>
    <t>P60</t>
  </si>
  <si>
    <t>P70</t>
  </si>
  <si>
    <t>P80</t>
  </si>
  <si>
    <t>P90 (mejor 10%)</t>
  </si>
  <si>
    <t>88.1 %</t>
  </si>
  <si>
    <t>Prob. de perder la mitad+</t>
  </si>
  <si>
    <t>1.6 %</t>
  </si>
  <si>
    <t>3.7 %</t>
  </si>
  <si>
    <t>10.5 %</t>
  </si>
  <si>
    <t>Promedio (media)</t>
  </si>
  <si>
    <t>S/ 254</t>
  </si>
  <si>
    <t>S/ 341</t>
  </si>
  <si>
    <t>S/ 589</t>
  </si>
  <si>
    <t>•  Cómo leerlo: el P50 (mediana) es el resultado típico. El P10 es el mal escenario (solo 10% terminó peor); el P90 el buen escenario (solo 10% terminó mejor).</t>
  </si>
  <si>
    <t>•  ½ Kelly: la curva más plana y segura. Casi nunca pierdes, pero el techo (P90) es el más bajo.</t>
  </si>
  <si>
    <t>•  ⅔ Kelly: sube toda la curva sin meter riesgo de quiebra. Buen punto medio para tu perfil.</t>
  </si>
  <si>
    <t>•  Kelly 100%: la curva más empinada — mayor P90, pero el P10 baja y aparece algo de riesgo de perder la mitad de la banca.</t>
  </si>
  <si>
    <t>•  La distribución NO es normal (campana): es asimétrica a la derecha (lognormal). Por eso la media es mayor que la mediana — unos pocos casos muy buenos jalan el promedio.</t>
  </si>
  <si>
    <t>COMBINADA SEGURA · BETSSON  ·  12 combinadas de S/60</t>
  </si>
  <si>
    <t>Promo: combinada de 5+ patas, SOLO ganador directo (1X2) con cuota &gt;=1.40 c/u y total &gt;=5.30. Si falla EXACTAMENTE una pata (4 ganan, 1 pierde) te DEVUELVEN lo apostado hasta S/60. Apuesta S/60 = reembolso cubre el 100%. Maximo 3 reembolsos por dia (ventana 17:00-16:59), segun el partido que termina mas tarde.</t>
  </si>
  <si>
    <t>Patas</t>
  </si>
  <si>
    <t>Paga S/</t>
  </si>
  <si>
    <t>Ganancia S/</t>
  </si>
  <si>
    <t>P(5 ganan)</t>
  </si>
  <si>
    <t>P(1 falla→reembolso)</t>
  </si>
  <si>
    <t>P(2+ →pierdes)</t>
  </si>
  <si>
    <t>EV con seguro</t>
  </si>
  <si>
    <t>Ventana reembolso</t>
  </si>
  <si>
    <t>Partido mas tardio</t>
  </si>
  <si>
    <t>2026-06-22</t>
  </si>
  <si>
    <t>Argelia (23/06 00:00)</t>
  </si>
  <si>
    <t>2026-06-23</t>
  </si>
  <si>
    <t>Croacia (23/06 20:00)</t>
  </si>
  <si>
    <t>Colombia (23/06 23:00)</t>
  </si>
  <si>
    <t>2026-06-24</t>
  </si>
  <si>
    <t>Brasil (24/06 19:00)</t>
  </si>
  <si>
    <t>Corea del Sur (24/06 22:00)</t>
  </si>
  <si>
    <t>2026-06-25</t>
  </si>
  <si>
    <t>Paises Bajos (25/06 20:00)</t>
  </si>
  <si>
    <t>TOTAL</t>
  </si>
  <si>
    <t>Costo: S/720</t>
  </si>
  <si>
    <t>EV total con seguro →</t>
  </si>
  <si>
    <t>DIVERSIFICACION  ·  que pasa si fallan partidos</t>
  </si>
  <si>
    <t>Min. partidos que deben fallar para tumbar las 12 combinadas: 4  (Escocia, Turquia, Suiza, Croacia)</t>
  </si>
  <si>
    <t>Si falla 1 o 2 partidos cualesquiera, SIEMPRE sobrevive al menos una combinada.</t>
  </si>
  <si>
    <t>Cobertura si falla 1 partido: 17/17 = 100%</t>
  </si>
  <si>
    <t>Pase lo que pase con un solo resultado, te quedan combinadas vivas.</t>
  </si>
  <si>
    <t>Cobertura si fallan 2 partidos: 136/136 = 100%</t>
  </si>
  <si>
    <t>Cualquier par de fallos deja combinadas en pie.</t>
  </si>
  <si>
    <t>Ningun pick se repite en mas de 4 de las 12 combinadas.</t>
  </si>
  <si>
    <t>Asi un mal resultado no contagia a todas.</t>
  </si>
  <si>
    <t>REPARTO POR VENTANA DE REEMBOLSO (max. 3 cupones por dia)</t>
  </si>
  <si>
    <t>Ventana (17:00 → 16:59)</t>
  </si>
  <si>
    <t>Combinadas que cierran</t>
  </si>
  <si>
    <t>Reembolsos posibles</t>
  </si>
  <si>
    <t>hasta S/180 (3 cupon(es))</t>
  </si>
  <si>
    <t>•  Lee el EV con seguro: lo que esperas ganar por combinada contando el reembolso si falla 1 pata. Todas son +EV con tus probabilidades.</t>
  </si>
  <si>
    <t>•  Regla de oro: apuesta EXACTAMENTE S/60 por combinada (iguala el tope de reembolso) y NO uses cashout (te descalifica del reembolso).</t>
  </si>
  <si>
    <t>•  El seguro solo paga si falla UNA pata. Por eso conviene 5 patas (no mas) y las de mayor seguridad: menos chance de que fallen 2+.</t>
  </si>
  <si>
    <t>•  Las P() usan TUS probabilidades (columna Mi prob.), no las de la casa. Si las cambias, cambian estos numeros.</t>
  </si>
  <si>
    <t>DETALLE DE CADA COMBINADA SEGURA</t>
  </si>
  <si>
    <t>COMBINADA #1   ·   cuota 8.63   ·   paga S/518   ·   reembolso en ventana 2026-06-22</t>
  </si>
  <si>
    <t>Colombia</t>
  </si>
  <si>
    <t>Uzbekistan vs Colombia  (17/06 21:00)</t>
  </si>
  <si>
    <t>Rep. Checa</t>
  </si>
  <si>
    <t>Rep. Checa vs Sudafrica  (18/06 11:00)</t>
  </si>
  <si>
    <t>Suiza</t>
  </si>
  <si>
    <t>Suiza vs Bosnia  (18/06 14:00)</t>
  </si>
  <si>
    <t>Uruguay</t>
  </si>
  <si>
    <t>Uruguay vs Cabo Verde  (21/06 17:00)</t>
  </si>
  <si>
    <t>Argelia</t>
  </si>
  <si>
    <t>Jordania vs Argelia  (22/06 22:00)</t>
  </si>
  <si>
    <t>COMBINADA</t>
  </si>
  <si>
    <t>5 patas → paga S/518 (gana S/458)</t>
  </si>
  <si>
    <t>COMBINADA #2   ·   cuota 8.40   ·   paga S/504   ·   reembolso en ventana 2026-06-22</t>
  </si>
  <si>
    <t>Argentina</t>
  </si>
  <si>
    <t>Argentina vs Argelia  (16/06 20:00)</t>
  </si>
  <si>
    <t>5 patas → paga S/504 (gana S/444)</t>
  </si>
  <si>
    <t>COMBINADA #3   ·   cuota 7.50   ·   paga S/450   ·   reembolso en ventana 2026-06-22</t>
  </si>
  <si>
    <t>Belgica</t>
  </si>
  <si>
    <t>Belgica vs Iran  (21/06 14:00)</t>
  </si>
  <si>
    <t>5 patas → paga S/450 (gana S/390)</t>
  </si>
  <si>
    <t>COMBINADA #4   ·   cuota 17.58   ·   paga S/1,055   ·   reembolso en ventana 2026-06-23</t>
  </si>
  <si>
    <t>Turquia</t>
  </si>
  <si>
    <t>Australia vs Turquia  (13/06 23:00)</t>
  </si>
  <si>
    <t>Iran</t>
  </si>
  <si>
    <t>Iran vs Nueva Zelanda  (15/06 20:00)</t>
  </si>
  <si>
    <t>Marruecos</t>
  </si>
  <si>
    <t>Escocia vs Marruecos  (19/06 17:00)</t>
  </si>
  <si>
    <t>Egipto</t>
  </si>
  <si>
    <t>Nueva Zelanda vs Egipto  (21/06 20:00)</t>
  </si>
  <si>
    <t>Croacia</t>
  </si>
  <si>
    <t>Panama vs Croacia  (23/06 18:00)</t>
  </si>
  <si>
    <t>5 patas → paga S/1,055 (gana S/995)</t>
  </si>
  <si>
    <t>COMBINADA #5   ·   cuota 7.76   ·   paga S/465   ·   reembolso en ventana 2026-06-23</t>
  </si>
  <si>
    <t>Colombia vs RD Congo  (23/06 21:00)</t>
  </si>
  <si>
    <t>5 patas → paga S/465 (gana S/405)</t>
  </si>
  <si>
    <t>COMBINADA #6   ·   cuota 7.34   ·   paga S/440   ·   reembolso en ventana 2026-06-23</t>
  </si>
  <si>
    <t>Escocia</t>
  </si>
  <si>
    <t>Haiti vs Escocia  (13/06 20:00)</t>
  </si>
  <si>
    <t>5 patas → paga S/440 (gana S/380)</t>
  </si>
  <si>
    <t>COMBINADA #7   ·   cuota 16.78   ·   paga S/1,007   ·   reembolso en ventana 2026-06-24</t>
  </si>
  <si>
    <t>Brasil</t>
  </si>
  <si>
    <t>Escocia vs Brasil  (24/06 17:00)</t>
  </si>
  <si>
    <t>5 patas → paga S/1,007 (gana S/947)</t>
  </si>
  <si>
    <t>COMBINADA #8   ·   cuota 19.51   ·   paga S/1,170   ·   reembolso en ventana 2026-06-24</t>
  </si>
  <si>
    <t>Corea del Sur</t>
  </si>
  <si>
    <t>Sudafrica vs Corea del Sur  (24/06 20:00)</t>
  </si>
  <si>
    <t>5 patas → paga S/1,170 (gana S/1,110)</t>
  </si>
  <si>
    <t>COMBINADA #9   ·   cuota 9.29   ·   paga S/557   ·   reembolso en ventana 2026-06-24</t>
  </si>
  <si>
    <t>5 patas → paga S/557 (gana S/497)</t>
  </si>
  <si>
    <t>COMBINADA #10   ·   cuota 17.58   ·   paga S/1,055   ·   reembolso en ventana 2026-06-25</t>
  </si>
  <si>
    <t>Paises Bajos</t>
  </si>
  <si>
    <t>Tunez vs Paises Bajos  (25/06 18:00)</t>
  </si>
  <si>
    <t>COMBINADA #11   ·   cuota 8.62   ·   paga S/517   ·   reembolso en ventana 2026-06-25</t>
  </si>
  <si>
    <t>5 patas → paga S/517 (gana S/457)</t>
  </si>
  <si>
    <t>COMBINADA #12   ·   cuota 10.21   ·   paga S/613   ·   reembolso en ventana 2026-06-25</t>
  </si>
  <si>
    <t>5 patas → paga S/613 (gana S/553)</t>
  </si>
  <si>
    <t>MAPA DE DIVERSIFICACION  ·  picks (filas) x combinadas (columnas)</t>
  </si>
  <si>
    <t>Veces</t>
  </si>
  <si>
    <t>Escocia 1.65</t>
  </si>
  <si>
    <t>Haiti vs Escocia</t>
  </si>
  <si>
    <t>Turquia 1.72</t>
  </si>
  <si>
    <t>Belgica 1.68</t>
  </si>
  <si>
    <t>Belgica vs Egipto</t>
  </si>
  <si>
    <t>Uruguay 1.47</t>
  </si>
  <si>
    <t>Iran 1.85</t>
  </si>
  <si>
    <t>Iran vs Nueva Zelanda</t>
  </si>
  <si>
    <t>Argentina 1.42</t>
  </si>
  <si>
    <t>Colombia 1.41</t>
  </si>
  <si>
    <t>Rep. Checa 1.67</t>
  </si>
  <si>
    <t>Suiza 1.62</t>
  </si>
  <si>
    <t>Marruecos 1.98</t>
  </si>
  <si>
    <t>Belgica 1.44</t>
  </si>
  <si>
    <t>Uruguay 1.46</t>
  </si>
  <si>
    <t>Egipto 1.80</t>
  </si>
  <si>
    <t>Argentina 1.65</t>
  </si>
  <si>
    <t>Argelia 1.55</t>
  </si>
  <si>
    <t>Jordania vs Argelia</t>
  </si>
  <si>
    <t>Croacia 1.55</t>
  </si>
  <si>
    <t>Colombia 1.49</t>
  </si>
  <si>
    <t>Brasil 1.48</t>
  </si>
  <si>
    <t>Corea del Sur 1.72</t>
  </si>
  <si>
    <t>Senegal 1.45</t>
  </si>
  <si>
    <t>Paises Bajos 1.55</t>
  </si>
  <si>
    <t>Tunez vs Paises Bajos</t>
  </si>
  <si>
    <t>(cada combinada = 5)</t>
  </si>
  <si>
    <t>Gana (S/60)</t>
  </si>
  <si>
    <t>ganancia neta si la combinada gana</t>
  </si>
  <si>
    <t>Min. hitting set = 4: hacen falta al menos 4 partidos fallando (de combos distintos) para que NINGUNA combinada sobreviva. Con 1 o 2 fallos siempre te queda alguna viva.</t>
  </si>
  <si>
    <t>x</t>
  </si>
  <si>
    <t>2x</t>
  </si>
  <si>
    <t>C13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</si>
</sst>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S/ &quot;#,##0.00"/>
    <numFmt numFmtId="165" formatCode="&quot;S/ &quot;#,##0"/>
    <numFmt numFmtId="166" formatCode="0.0%"/>
    <numFmt numFmtId="167" formatCode="0.000"/>
    <numFmt numFmtId="168" formatCode="0.0"/>
    <numFmt numFmtId="169" formatCode="&quot;S/ &quot;\+#,##0;&quot;S/ &quot;\-#,##0"/>
    <numFmt numFmtId="170" formatCode="0.000%"/>
    <numFmt numFmtId="171" formatCode="&quot;S/ &quot;\+#,##0"/>
    <numFmt numFmtId="172" formatCode="&quot;S/&quot;#,##0"/>
  </numFmts>
  <fonts count="71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color rgb="FF1F3864"/>
      <name val="Arial"/>
      <family val="2"/>
    </font>
    <font>
      <sz val="9"/>
      <color rgb="FF000000"/>
      <name val="Arial"/>
      <family val="2"/>
    </font>
    <font>
      <sz val="9"/>
      <color rgb="FF808080"/>
      <name val="Arial"/>
      <family val="2"/>
    </font>
    <font>
      <b/>
      <sz val="16"/>
      <name val="Arial"/>
      <family val="2"/>
    </font>
    <font>
      <i/>
      <sz val="1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i/>
      <sz val="10"/>
      <name val="Arial"/>
      <family val="2"/>
    </font>
    <font>
      <b/>
      <sz val="11"/>
      <color rgb="FF006100"/>
      <name val="Arial"/>
      <family val="2"/>
    </font>
    <font>
      <sz val="9"/>
      <color rgb="FFFFFFFF"/>
      <name val="Arial"/>
      <family val="2"/>
    </font>
    <font>
      <b/>
      <sz val="11"/>
      <color rgb="FF1F3864"/>
      <name val="Arial"/>
      <family val="2"/>
    </font>
    <font>
      <b/>
      <sz val="12"/>
      <color rgb="FF0000FF"/>
      <name val="Arial"/>
      <family val="2"/>
    </font>
    <font>
      <b/>
      <sz val="9"/>
      <color rgb="FFFFFFFF"/>
      <name val="Arial"/>
      <family val="2"/>
    </font>
    <font>
      <sz val="10"/>
      <color rgb="FF000000"/>
      <name val="Arial"/>
      <family val="2"/>
    </font>
    <font>
      <b/>
      <sz val="9"/>
      <color rgb="FF1F3864"/>
      <name val="Arial"/>
      <family val="2"/>
    </font>
    <font>
      <b/>
      <sz val="10"/>
      <color rgb="FF000000"/>
      <name val="Arial"/>
      <family val="2"/>
    </font>
    <font>
      <b/>
      <sz val="10"/>
      <color rgb="FF0000FF"/>
      <name val="Arial"/>
      <family val="2"/>
    </font>
    <font>
      <b/>
      <sz val="12"/>
      <color rgb="FFBF9000"/>
      <name val="Arial"/>
      <family val="2"/>
    </font>
    <font>
      <b/>
      <sz val="15"/>
      <color rgb="FFFFFFFF"/>
      <name val="Arial"/>
      <family val="2"/>
    </font>
    <font>
      <b/>
      <sz val="10"/>
      <color rgb="FFFFFFFF"/>
      <name val="Arial"/>
      <family val="2"/>
    </font>
    <font>
      <b/>
      <sz val="11"/>
      <color rgb="FF000000"/>
      <name val="Arial"/>
      <family val="2"/>
    </font>
    <font>
      <b/>
      <sz val="12"/>
      <color rgb="FF1F3864"/>
      <name val="Arial"/>
      <family val="2"/>
    </font>
    <font>
      <b/>
      <sz val="10"/>
      <color rgb="FF006100"/>
      <name val="Arial"/>
      <family val="2"/>
    </font>
    <font>
      <b/>
      <sz val="14"/>
      <color rgb="FFFFFFFF"/>
      <name val="Arial"/>
      <family val="2"/>
    </font>
    <font>
      <b/>
      <sz val="10"/>
      <color rgb="FF7F6000"/>
      <name val="Arial"/>
      <family val="2"/>
    </font>
    <font>
      <b/>
      <sz val="10"/>
      <color rgb="FF843C0C"/>
      <name val="Arial"/>
      <family val="2"/>
    </font>
    <font>
      <b/>
      <sz val="11"/>
      <color rgb="FF0000FF"/>
      <name val="Arial"/>
      <family val="2"/>
    </font>
    <font>
      <b/>
      <sz val="8"/>
      <color rgb="FFFFFFFF"/>
      <name val="Arial"/>
      <family val="2"/>
    </font>
    <font>
      <sz val="9"/>
      <color rgb="FF1F3864"/>
      <name val="Arial"/>
      <family val="2"/>
    </font>
    <font>
      <b/>
      <sz val="13"/>
      <color rgb="FFFFFFFF"/>
      <name val="Arial"/>
      <family val="2"/>
    </font>
    <font>
      <sz val="8"/>
      <color rgb="FF000000"/>
      <name val="Arial"/>
      <family val="2"/>
    </font>
    <font>
      <sz val="8"/>
      <color rgb="FF1F3864"/>
      <name val="Arial"/>
      <family val="2"/>
    </font>
    <font>
      <b/>
      <sz val="9"/>
      <color rgb="FF006100"/>
      <name val="Arial"/>
      <family val="2"/>
    </font>
    <font>
      <b/>
      <sz val="8"/>
      <color rgb="FF000000"/>
      <name val="Arial"/>
      <family val="2"/>
    </font>
    <font>
      <b/>
      <sz val="15"/>
      <color rgb="FFFFFFFF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006100"/>
      <name val="Arial"/>
      <family val="2"/>
    </font>
    <font>
      <b/>
      <sz val="8"/>
      <color rgb="FF000000"/>
      <name val="Arial"/>
      <family val="2"/>
    </font>
    <font>
      <b/>
      <sz val="10"/>
      <color rgb="FF7F6000"/>
      <name val="Arial"/>
      <family val="2"/>
    </font>
    <font>
      <b/>
      <sz val="10"/>
      <color rgb="FF843C0C"/>
      <name val="Arial"/>
      <family val="2"/>
    </font>
    <font>
      <b/>
      <sz val="9"/>
      <color rgb="FF000000"/>
      <name val="Arial"/>
      <family val="2"/>
    </font>
    <font>
      <sz val="10"/>
      <color rgb="FF000000"/>
      <name val="Arial"/>
      <family val="2"/>
    </font>
    <font>
      <sz val="9"/>
      <color rgb="FF9C0006"/>
      <name val="Arial"/>
      <family val="2"/>
    </font>
    <font>
      <sz val="9"/>
      <color rgb="FF000000"/>
      <name val="Arial"/>
      <family val="2"/>
    </font>
    <font>
      <sz val="9"/>
      <color rgb="FF006100"/>
      <name val="Arial"/>
      <family val="2"/>
    </font>
    <font>
      <b/>
      <sz val="10"/>
      <color rgb="FF000000"/>
      <name val="Arial"/>
      <family val="2"/>
    </font>
    <font>
      <sz val="10"/>
      <color rgb="FF0000FF"/>
      <name val="Arial"/>
      <family val="2"/>
    </font>
    <font>
      <b/>
      <sz val="9"/>
      <color rgb="FF006100"/>
      <name val="Arial"/>
      <family val="2"/>
    </font>
    <font>
      <b/>
      <sz val="11"/>
      <color rgb="FF006100"/>
      <name val="Arial"/>
      <family val="2"/>
    </font>
    <font>
      <b/>
      <sz val="11"/>
      <color rgb="FFFFFFFF"/>
      <name val="Arial"/>
      <family val="2"/>
    </font>
    <font>
      <b/>
      <sz val="9"/>
      <color rgb="FF1F3864"/>
      <name val="Arial"/>
      <family val="2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9"/>
      <color rgb="FF0000FF"/>
      <name val="Arial"/>
      <family val="2"/>
    </font>
    <font>
      <b/>
      <sz val="13"/>
      <color rgb="FFFFFFFF"/>
      <name val="Arial"/>
      <family val="2"/>
    </font>
    <font>
      <b/>
      <sz val="8"/>
      <color rgb="FF1F3864"/>
      <name val="Arial"/>
      <family val="2"/>
    </font>
    <font>
      <sz val="8"/>
      <color rgb="FF000000"/>
      <name val="Arial"/>
      <family val="2"/>
    </font>
    <font>
      <sz val="9"/>
      <color rgb="FF808080"/>
      <name val="Arial"/>
      <family val="2"/>
    </font>
    <font>
      <b/>
      <sz val="12"/>
      <color rgb="FFFFFFFF"/>
      <name val="Arial"/>
      <family val="2"/>
    </font>
    <font>
      <b/>
      <sz val="10"/>
      <color rgb="FF1F3864"/>
      <name val="Arial"/>
      <family val="2"/>
    </font>
    <font>
      <b/>
      <sz val="8"/>
      <color rgb="FF006100"/>
      <name val="Arial"/>
      <family val="2"/>
    </font>
    <font>
      <b/>
      <sz val="16"/>
      <color rgb="FFFFFFFF"/>
      <name val="Arial"/>
      <family val="2"/>
    </font>
    <font>
      <sz val="10"/>
      <color rgb="FFFFFFFF"/>
      <name val="Arial"/>
      <family val="2"/>
    </font>
    <font>
      <sz val="8"/>
      <color rgb="FF808080"/>
      <name val="Arial"/>
      <family val="2"/>
    </font>
    <font>
      <b/>
      <sz val="9"/>
      <color rgb="FF80808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rgb="FF1F3864"/>
        <bgColor rgb="FF1F4E78"/>
      </patternFill>
    </fill>
    <fill>
      <patternFill patternType="solid">
        <fgColor rgb="FF2E5496"/>
        <bgColor rgb="FF1F4E78"/>
      </patternFill>
    </fill>
    <fill>
      <patternFill patternType="solid">
        <fgColor rgb="FF1F6E6E"/>
        <bgColor rgb="FF008080"/>
      </patternFill>
    </fill>
    <fill>
      <patternFill patternType="solid">
        <fgColor rgb="FFDDEBF7"/>
        <bgColor rgb="FFF2F2F2"/>
      </patternFill>
    </fill>
    <fill>
      <patternFill patternType="solid">
        <fgColor rgb="FFBF9000"/>
        <bgColor rgb="FFFF6600"/>
      </patternFill>
    </fill>
    <fill>
      <patternFill patternType="solid">
        <fgColor rgb="FF1F4E78"/>
        <bgColor rgb="FF2E5496"/>
      </patternFill>
    </fill>
    <fill>
      <patternFill patternType="solid">
        <fgColor rgb="FFFFF2CC"/>
        <bgColor rgb="FFFCE4D6"/>
      </patternFill>
    </fill>
    <fill>
      <patternFill patternType="solid">
        <fgColor rgb="FFC6EFCE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FFFDE7"/>
      </patternFill>
    </fill>
    <fill>
      <patternFill patternType="solid">
        <fgColor rgb="FFFFFFFF"/>
        <bgColor rgb="FFFFFDE7"/>
      </patternFill>
    </fill>
    <fill>
      <patternFill patternType="solid">
        <fgColor rgb="FFFFFDE7"/>
        <bgColor rgb="FFFFFFFF"/>
      </patternFill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DDEBF7"/>
      </patternFill>
    </fill>
    <fill>
      <patternFill patternType="solid">
        <fgColor rgb="FFFFFDE7"/>
      </patternFill>
    </fill>
    <fill>
      <patternFill patternType="solid">
        <fgColor rgb="FF1F6E43"/>
      </patternFill>
    </fill>
    <fill>
      <patternFill patternType="solid">
        <fgColor rgb="FFE2EFDA"/>
      </patternFill>
    </fill>
    <fill>
      <patternFill patternType="solid">
        <fgColor rgb="FFBF9000"/>
      </patternFill>
    </fill>
    <fill>
      <patternFill patternType="solid">
        <fgColor rgb="FF1F6E6E"/>
      </patternFill>
    </fill>
    <fill>
      <patternFill patternType="solid">
        <fgColor theme="9"/>
        <bgColor rgb="FF2E5496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5">
    <xf numFmtId="0" fontId="0" fillId="0" borderId="0" xfId="0"/>
    <xf numFmtId="0" fontId="4" fillId="5" borderId="1" xfId="0" applyFont="1" applyFill="1" applyBorder="1" applyAlignment="1">
      <alignment horizontal="left" vertical="center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7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0" fontId="12" fillId="0" borderId="0" xfId="0" applyFont="1"/>
    <xf numFmtId="0" fontId="9" fillId="0" borderId="2" xfId="0" applyFont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0" fillId="0" borderId="2" xfId="0" applyFont="1" applyBorder="1"/>
    <xf numFmtId="2" fontId="10" fillId="0" borderId="2" xfId="0" applyNumberFormat="1" applyFont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right"/>
    </xf>
    <xf numFmtId="2" fontId="9" fillId="0" borderId="0" xfId="0" applyNumberFormat="1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0" fontId="10" fillId="8" borderId="2" xfId="0" applyFont="1" applyFill="1" applyBorder="1"/>
    <xf numFmtId="0" fontId="10" fillId="5" borderId="2" xfId="0" applyFont="1" applyFill="1" applyBorder="1" applyAlignment="1">
      <alignment horizontal="center" vertical="center"/>
    </xf>
    <xf numFmtId="0" fontId="10" fillId="10" borderId="2" xfId="0" applyFont="1" applyFill="1" applyBorder="1"/>
    <xf numFmtId="0" fontId="10" fillId="9" borderId="2" xfId="0" applyFont="1" applyFill="1" applyBorder="1"/>
    <xf numFmtId="165" fontId="16" fillId="8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2" fontId="18" fillId="0" borderId="1" xfId="0" applyNumberFormat="1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vertical="center" wrapText="1"/>
    </xf>
    <xf numFmtId="2" fontId="18" fillId="12" borderId="1" xfId="0" applyNumberFormat="1" applyFont="1" applyFill="1" applyBorder="1" applyAlignment="1">
      <alignment horizontal="center" vertical="center" wrapText="1"/>
    </xf>
    <xf numFmtId="166" fontId="18" fillId="12" borderId="1" xfId="0" applyNumberFormat="1" applyFont="1" applyFill="1" applyBorder="1" applyAlignment="1">
      <alignment horizontal="center" vertical="center" wrapText="1"/>
    </xf>
    <xf numFmtId="164" fontId="18" fillId="12" borderId="1" xfId="0" applyNumberFormat="1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left" vertical="center" wrapText="1"/>
    </xf>
    <xf numFmtId="166" fontId="18" fillId="5" borderId="1" xfId="0" applyNumberFormat="1" applyFont="1" applyFill="1" applyBorder="1" applyAlignment="1">
      <alignment horizontal="center" vertical="center" wrapText="1"/>
    </xf>
    <xf numFmtId="164" fontId="20" fillId="5" borderId="1" xfId="0" applyNumberFormat="1" applyFont="1" applyFill="1" applyBorder="1" applyAlignment="1">
      <alignment horizontal="center" vertical="center" wrapText="1"/>
    </xf>
    <xf numFmtId="9" fontId="21" fillId="13" borderId="1" xfId="0" applyNumberFormat="1" applyFont="1" applyFill="1" applyBorder="1" applyAlignment="1">
      <alignment horizontal="center" vertical="center" wrapText="1"/>
    </xf>
    <xf numFmtId="1" fontId="21" fillId="13" borderId="1" xfId="0" applyNumberFormat="1" applyFont="1" applyFill="1" applyBorder="1" applyAlignment="1">
      <alignment horizontal="center" vertical="center" wrapText="1"/>
    </xf>
    <xf numFmtId="164" fontId="11" fillId="6" borderId="1" xfId="0" applyNumberFormat="1" applyFont="1" applyFill="1" applyBorder="1" applyAlignment="1">
      <alignment horizontal="center" vertical="center" wrapText="1"/>
    </xf>
    <xf numFmtId="164" fontId="22" fillId="8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 wrapText="1"/>
    </xf>
    <xf numFmtId="0" fontId="20" fillId="12" borderId="1" xfId="0" applyFont="1" applyFill="1" applyBorder="1" applyAlignment="1">
      <alignment horizontal="left" vertical="center" wrapText="1"/>
    </xf>
    <xf numFmtId="0" fontId="25" fillId="9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wrapText="1"/>
    </xf>
    <xf numFmtId="0" fontId="25" fillId="10" borderId="1" xfId="0" applyFont="1" applyFill="1" applyBorder="1" applyAlignment="1">
      <alignment horizontal="center" vertical="center" wrapText="1"/>
    </xf>
    <xf numFmtId="0" fontId="20" fillId="11" borderId="1" xfId="0" applyFont="1" applyFill="1" applyBorder="1" applyAlignment="1">
      <alignment horizontal="left" vertical="center" wrapText="1"/>
    </xf>
    <xf numFmtId="0" fontId="18" fillId="12" borderId="1" xfId="0" applyFont="1" applyFill="1" applyBorder="1" applyAlignment="1">
      <alignment horizontal="center" vertical="center" wrapText="1"/>
    </xf>
    <xf numFmtId="167" fontId="18" fillId="12" borderId="1" xfId="0" applyNumberFormat="1" applyFont="1" applyFill="1" applyBorder="1" applyAlignment="1">
      <alignment horizontal="center" vertical="center" wrapText="1"/>
    </xf>
    <xf numFmtId="164" fontId="27" fillId="9" borderId="1" xfId="0" applyNumberFormat="1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167" fontId="18" fillId="11" borderId="1" xfId="0" applyNumberFormat="1" applyFont="1" applyFill="1" applyBorder="1" applyAlignment="1">
      <alignment horizontal="center" vertical="center" wrapText="1"/>
    </xf>
    <xf numFmtId="166" fontId="18" fillId="11" borderId="1" xfId="0" applyNumberFormat="1" applyFont="1" applyFill="1" applyBorder="1" applyAlignment="1">
      <alignment horizontal="center" vertical="center" wrapText="1"/>
    </xf>
    <xf numFmtId="164" fontId="18" fillId="11" borderId="1" xfId="0" applyNumberFormat="1" applyFont="1" applyFill="1" applyBorder="1" applyAlignment="1">
      <alignment horizontal="center" vertical="center" wrapText="1"/>
    </xf>
    <xf numFmtId="164" fontId="24" fillId="2" borderId="1" xfId="0" applyNumberFormat="1" applyFont="1" applyFill="1" applyBorder="1"/>
    <xf numFmtId="164" fontId="22" fillId="8" borderId="1" xfId="0" applyNumberFormat="1" applyFont="1" applyFill="1" applyBorder="1"/>
    <xf numFmtId="164" fontId="29" fillId="8" borderId="1" xfId="0" applyNumberFormat="1" applyFont="1" applyFill="1" applyBorder="1" applyAlignment="1">
      <alignment horizontal="center" vertical="center" wrapText="1"/>
    </xf>
    <xf numFmtId="164" fontId="30" fillId="10" borderId="1" xfId="0" applyNumberFormat="1" applyFont="1" applyFill="1" applyBorder="1" applyAlignment="1">
      <alignment horizontal="center" vertical="center" wrapText="1"/>
    </xf>
    <xf numFmtId="165" fontId="31" fillId="8" borderId="1" xfId="0" applyNumberFormat="1" applyFont="1" applyFill="1" applyBorder="1" applyAlignment="1">
      <alignment horizontal="center" vertical="center" wrapText="1"/>
    </xf>
    <xf numFmtId="0" fontId="20" fillId="11" borderId="1" xfId="0" applyFont="1" applyFill="1" applyBorder="1" applyAlignment="1">
      <alignment horizontal="center" vertical="center" wrapText="1"/>
    </xf>
    <xf numFmtId="168" fontId="18" fillId="11" borderId="1" xfId="0" applyNumberFormat="1" applyFont="1" applyFill="1" applyBorder="1" applyAlignment="1">
      <alignment horizontal="center" vertical="center" wrapText="1"/>
    </xf>
    <xf numFmtId="165" fontId="18" fillId="11" borderId="1" xfId="0" applyNumberFormat="1" applyFont="1" applyFill="1" applyBorder="1" applyAlignment="1">
      <alignment horizontal="center" vertical="center" wrapText="1"/>
    </xf>
    <xf numFmtId="165" fontId="27" fillId="11" borderId="1" xfId="0" applyNumberFormat="1" applyFont="1" applyFill="1" applyBorder="1" applyAlignment="1">
      <alignment horizontal="center" vertical="center" wrapText="1"/>
    </xf>
    <xf numFmtId="0" fontId="20" fillId="12" borderId="1" xfId="0" applyFont="1" applyFill="1" applyBorder="1" applyAlignment="1">
      <alignment horizontal="center" vertical="center" wrapText="1"/>
    </xf>
    <xf numFmtId="168" fontId="18" fillId="12" borderId="1" xfId="0" applyNumberFormat="1" applyFont="1" applyFill="1" applyBorder="1" applyAlignment="1">
      <alignment horizontal="center" vertical="center" wrapText="1"/>
    </xf>
    <xf numFmtId="165" fontId="18" fillId="12" borderId="1" xfId="0" applyNumberFormat="1" applyFont="1" applyFill="1" applyBorder="1" applyAlignment="1">
      <alignment horizontal="center" vertical="center" wrapText="1"/>
    </xf>
    <xf numFmtId="165" fontId="27" fillId="12" borderId="1" xfId="0" applyNumberFormat="1" applyFont="1" applyFill="1" applyBorder="1" applyAlignment="1">
      <alignment horizontal="center" vertical="center" wrapText="1"/>
    </xf>
    <xf numFmtId="165" fontId="24" fillId="2" borderId="1" xfId="0" applyNumberFormat="1" applyFont="1" applyFill="1" applyBorder="1"/>
    <xf numFmtId="0" fontId="0" fillId="2" borderId="1" xfId="0" applyFill="1" applyBorder="1"/>
    <xf numFmtId="0" fontId="20" fillId="9" borderId="1" xfId="0" applyFont="1" applyFill="1" applyBorder="1" applyAlignment="1">
      <alignment horizontal="left" vertical="center" wrapText="1"/>
    </xf>
    <xf numFmtId="0" fontId="20" fillId="8" borderId="1" xfId="0" applyFont="1" applyFill="1" applyBorder="1" applyAlignment="1">
      <alignment horizontal="left" vertical="center" wrapText="1"/>
    </xf>
    <xf numFmtId="0" fontId="20" fillId="5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32" fillId="3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33" fillId="12" borderId="1" xfId="0" applyFont="1" applyFill="1" applyBorder="1" applyAlignment="1">
      <alignment horizontal="left" vertical="center" wrapText="1"/>
    </xf>
    <xf numFmtId="2" fontId="5" fillId="12" borderId="1" xfId="0" applyNumberFormat="1" applyFont="1" applyFill="1" applyBorder="1" applyAlignment="1">
      <alignment horizontal="center" vertical="center" wrapText="1"/>
    </xf>
    <xf numFmtId="0" fontId="35" fillId="11" borderId="1" xfId="0" applyFont="1" applyFill="1" applyBorder="1" applyAlignment="1">
      <alignment horizontal="center" vertical="center" wrapText="1"/>
    </xf>
    <xf numFmtId="0" fontId="35" fillId="11" borderId="1" xfId="0" applyFont="1" applyFill="1" applyBorder="1" applyAlignment="1">
      <alignment horizontal="left" vertical="center" wrapText="1"/>
    </xf>
    <xf numFmtId="0" fontId="36" fillId="11" borderId="1" xfId="0" applyFont="1" applyFill="1" applyBorder="1" applyAlignment="1">
      <alignment horizontal="left" vertical="center" wrapText="1"/>
    </xf>
    <xf numFmtId="0" fontId="37" fillId="9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38" fillId="0" borderId="0" xfId="0" applyFont="1" applyAlignment="1">
      <alignment horizontal="right"/>
    </xf>
    <xf numFmtId="0" fontId="32" fillId="2" borderId="1" xfId="0" applyFont="1" applyFill="1" applyBorder="1" applyAlignment="1">
      <alignment horizontal="center" vertical="center" wrapText="1"/>
    </xf>
    <xf numFmtId="0" fontId="42" fillId="16" borderId="6" xfId="0" applyFont="1" applyFill="1" applyBorder="1" applyAlignment="1">
      <alignment horizontal="center" vertical="center" wrapText="1"/>
    </xf>
    <xf numFmtId="0" fontId="43" fillId="16" borderId="6" xfId="0" applyFont="1" applyFill="1" applyBorder="1" applyAlignment="1">
      <alignment horizontal="center" vertical="center" wrapText="1"/>
    </xf>
    <xf numFmtId="0" fontId="43" fillId="17" borderId="6" xfId="0" applyFont="1" applyFill="1" applyBorder="1" applyAlignment="1">
      <alignment horizontal="center" vertical="center" wrapText="1"/>
    </xf>
    <xf numFmtId="0" fontId="43" fillId="18" borderId="6" xfId="0" applyFont="1" applyFill="1" applyBorder="1" applyAlignment="1">
      <alignment horizontal="center" vertical="center" wrapText="1"/>
    </xf>
    <xf numFmtId="0" fontId="46" fillId="19" borderId="6" xfId="0" applyFont="1" applyFill="1" applyBorder="1" applyAlignment="1">
      <alignment horizontal="left" vertical="center" wrapText="1"/>
    </xf>
    <xf numFmtId="165" fontId="47" fillId="0" borderId="6" xfId="0" applyNumberFormat="1" applyFont="1" applyBorder="1" applyAlignment="1">
      <alignment horizontal="center" vertical="center" wrapText="1"/>
    </xf>
    <xf numFmtId="169" fontId="48" fillId="0" borderId="6" xfId="0" applyNumberFormat="1" applyFont="1" applyBorder="1" applyAlignment="1">
      <alignment horizontal="center" vertical="center" wrapText="1"/>
    </xf>
    <xf numFmtId="0" fontId="49" fillId="20" borderId="6" xfId="0" applyFont="1" applyFill="1" applyBorder="1" applyAlignment="1">
      <alignment horizontal="left" vertical="center" wrapText="1"/>
    </xf>
    <xf numFmtId="169" fontId="50" fillId="0" borderId="6" xfId="0" applyNumberFormat="1" applyFont="1" applyBorder="1" applyAlignment="1">
      <alignment horizontal="center" vertical="center" wrapText="1"/>
    </xf>
    <xf numFmtId="0" fontId="49" fillId="19" borderId="6" xfId="0" applyFont="1" applyFill="1" applyBorder="1" applyAlignment="1">
      <alignment horizontal="left" vertical="center" wrapText="1"/>
    </xf>
    <xf numFmtId="0" fontId="46" fillId="21" borderId="6" xfId="0" applyFont="1" applyFill="1" applyBorder="1" applyAlignment="1">
      <alignment horizontal="left" vertical="center" wrapText="1"/>
    </xf>
    <xf numFmtId="165" fontId="51" fillId="0" borderId="6" xfId="0" applyNumberFormat="1" applyFont="1" applyBorder="1" applyAlignment="1">
      <alignment horizontal="center" vertical="center" wrapText="1"/>
    </xf>
    <xf numFmtId="0" fontId="46" fillId="20" borderId="6" xfId="0" applyFont="1" applyFill="1" applyBorder="1" applyAlignment="1">
      <alignment horizontal="left" vertical="center" wrapText="1"/>
    </xf>
    <xf numFmtId="166" fontId="10" fillId="0" borderId="2" xfId="0" applyNumberFormat="1" applyFont="1" applyBorder="1" applyAlignment="1">
      <alignment horizontal="center" vertical="center"/>
    </xf>
    <xf numFmtId="166" fontId="52" fillId="22" borderId="2" xfId="0" applyNumberFormat="1" applyFont="1" applyFill="1" applyBorder="1" applyAlignment="1">
      <alignment horizontal="center" vertical="center"/>
    </xf>
    <xf numFmtId="170" fontId="9" fillId="0" borderId="0" xfId="0" applyNumberFormat="1" applyFont="1" applyAlignment="1">
      <alignment horizontal="center" vertical="center"/>
    </xf>
    <xf numFmtId="0" fontId="41" fillId="23" borderId="6" xfId="0" applyFont="1" applyFill="1" applyBorder="1" applyAlignment="1">
      <alignment horizontal="center" vertical="center" wrapText="1"/>
    </xf>
    <xf numFmtId="0" fontId="46" fillId="24" borderId="6" xfId="0" applyFont="1" applyFill="1" applyBorder="1" applyAlignment="1">
      <alignment horizontal="center" vertical="center" wrapText="1"/>
    </xf>
    <xf numFmtId="0" fontId="49" fillId="0" borderId="6" xfId="0" applyFont="1" applyBorder="1" applyAlignment="1">
      <alignment horizontal="center" vertical="center" wrapText="1"/>
    </xf>
    <xf numFmtId="2" fontId="49" fillId="0" borderId="6" xfId="0" applyNumberFormat="1" applyFont="1" applyBorder="1" applyAlignment="1">
      <alignment horizontal="center" vertical="center" wrapText="1"/>
    </xf>
    <xf numFmtId="165" fontId="49" fillId="0" borderId="6" xfId="0" applyNumberFormat="1" applyFont="1" applyBorder="1" applyAlignment="1">
      <alignment horizontal="center" vertical="center" wrapText="1"/>
    </xf>
    <xf numFmtId="165" fontId="46" fillId="0" borderId="6" xfId="0" applyNumberFormat="1" applyFont="1" applyBorder="1" applyAlignment="1">
      <alignment horizontal="center" vertical="center" wrapText="1"/>
    </xf>
    <xf numFmtId="9" fontId="49" fillId="0" borderId="6" xfId="0" applyNumberFormat="1" applyFont="1" applyBorder="1" applyAlignment="1">
      <alignment horizontal="center" vertical="center" wrapText="1"/>
    </xf>
    <xf numFmtId="9" fontId="48" fillId="0" borderId="6" xfId="0" applyNumberFormat="1" applyFont="1" applyBorder="1" applyAlignment="1">
      <alignment horizontal="center" vertical="center" wrapText="1"/>
    </xf>
    <xf numFmtId="169" fontId="53" fillId="0" borderId="6" xfId="0" applyNumberFormat="1" applyFont="1" applyBorder="1" applyAlignment="1">
      <alignment horizontal="center" vertical="center" wrapText="1"/>
    </xf>
    <xf numFmtId="0" fontId="49" fillId="0" borderId="6" xfId="0" applyFont="1" applyBorder="1" applyAlignment="1">
      <alignment horizontal="left" vertical="center" wrapText="1"/>
    </xf>
    <xf numFmtId="0" fontId="51" fillId="16" borderId="6" xfId="0" applyFont="1" applyFill="1" applyBorder="1" applyAlignment="1">
      <alignment horizontal="center" vertical="center" wrapText="1"/>
    </xf>
    <xf numFmtId="171" fontId="54" fillId="16" borderId="6" xfId="0" applyNumberFormat="1" applyFont="1" applyFill="1" applyBorder="1" applyAlignment="1">
      <alignment horizontal="center" vertical="center" wrapText="1"/>
    </xf>
    <xf numFmtId="0" fontId="56" fillId="21" borderId="6" xfId="0" applyFont="1" applyFill="1" applyBorder="1" applyAlignment="1">
      <alignment horizontal="left" vertical="center" wrapText="1"/>
    </xf>
    <xf numFmtId="0" fontId="46" fillId="0" borderId="6" xfId="0" applyFont="1" applyBorder="1" applyAlignment="1">
      <alignment horizontal="center" vertical="center" wrapText="1"/>
    </xf>
    <xf numFmtId="0" fontId="46" fillId="16" borderId="6" xfId="0" applyFont="1" applyFill="1" applyBorder="1" applyAlignment="1">
      <alignment horizontal="center" vertical="center" wrapText="1"/>
    </xf>
    <xf numFmtId="0" fontId="56" fillId="0" borderId="6" xfId="0" applyFont="1" applyBorder="1" applyAlignment="1">
      <alignment horizontal="left" vertical="center" wrapText="1"/>
    </xf>
    <xf numFmtId="9" fontId="59" fillId="17" borderId="6" xfId="0" applyNumberFormat="1" applyFont="1" applyFill="1" applyBorder="1" applyAlignment="1">
      <alignment horizontal="center" vertical="center" wrapText="1"/>
    </xf>
    <xf numFmtId="0" fontId="46" fillId="24" borderId="6" xfId="0" applyFont="1" applyFill="1" applyBorder="1" applyAlignment="1">
      <alignment horizontal="left" vertical="center" wrapText="1"/>
    </xf>
    <xf numFmtId="2" fontId="46" fillId="24" borderId="6" xfId="0" applyNumberFormat="1" applyFont="1" applyFill="1" applyBorder="1" applyAlignment="1">
      <alignment horizontal="center" vertical="center" wrapText="1"/>
    </xf>
    <xf numFmtId="9" fontId="53" fillId="24" borderId="6" xfId="0" applyNumberFormat="1" applyFont="1" applyFill="1" applyBorder="1" applyAlignment="1">
      <alignment horizontal="center" vertical="center" wrapText="1"/>
    </xf>
    <xf numFmtId="0" fontId="41" fillId="14" borderId="6" xfId="0" applyFont="1" applyFill="1" applyBorder="1" applyAlignment="1">
      <alignment horizontal="center" vertical="center" wrapText="1"/>
    </xf>
    <xf numFmtId="0" fontId="61" fillId="20" borderId="6" xfId="0" applyFont="1" applyFill="1" applyBorder="1" applyAlignment="1">
      <alignment horizontal="left" vertical="center" wrapText="1"/>
    </xf>
    <xf numFmtId="0" fontId="62" fillId="20" borderId="6" xfId="0" applyFont="1" applyFill="1" applyBorder="1" applyAlignment="1">
      <alignment horizontal="left" vertical="center" wrapText="1"/>
    </xf>
    <xf numFmtId="0" fontId="0" fillId="20" borderId="6" xfId="0" applyFill="1" applyBorder="1" applyAlignment="1">
      <alignment horizontal="center" vertical="center" wrapText="1"/>
    </xf>
    <xf numFmtId="0" fontId="46" fillId="20" borderId="6" xfId="0" applyFont="1" applyFill="1" applyBorder="1" applyAlignment="1">
      <alignment horizontal="center" vertical="center" wrapText="1"/>
    </xf>
    <xf numFmtId="0" fontId="61" fillId="19" borderId="6" xfId="0" applyFont="1" applyFill="1" applyBorder="1" applyAlignment="1">
      <alignment horizontal="left" vertical="center" wrapText="1"/>
    </xf>
    <xf numFmtId="0" fontId="62" fillId="19" borderId="6" xfId="0" applyFont="1" applyFill="1" applyBorder="1" applyAlignment="1">
      <alignment horizontal="left" vertical="center" wrapText="1"/>
    </xf>
    <xf numFmtId="0" fontId="0" fillId="19" borderId="6" xfId="0" applyFill="1" applyBorder="1" applyAlignment="1">
      <alignment horizontal="center" vertical="center" wrapText="1"/>
    </xf>
    <xf numFmtId="0" fontId="46" fillId="19" borderId="6" xfId="0" applyFont="1" applyFill="1" applyBorder="1" applyAlignment="1">
      <alignment horizontal="center" vertical="center" wrapText="1"/>
    </xf>
    <xf numFmtId="0" fontId="62" fillId="24" borderId="6" xfId="0" applyFont="1" applyFill="1" applyBorder="1" applyAlignment="1">
      <alignment horizontal="left" vertical="center" wrapText="1"/>
    </xf>
    <xf numFmtId="0" fontId="0" fillId="24" borderId="6" xfId="0" applyFill="1" applyBorder="1"/>
    <xf numFmtId="0" fontId="53" fillId="16" borderId="6" xfId="0" applyFont="1" applyFill="1" applyBorder="1" applyAlignment="1">
      <alignment horizontal="center" vertical="center" wrapText="1"/>
    </xf>
    <xf numFmtId="0" fontId="62" fillId="16" borderId="6" xfId="0" applyFont="1" applyFill="1" applyBorder="1" applyAlignment="1">
      <alignment horizontal="left" vertical="center" wrapText="1"/>
    </xf>
    <xf numFmtId="3" fontId="66" fillId="16" borderId="6" xfId="0" applyNumberFormat="1" applyFont="1" applyFill="1" applyBorder="1" applyAlignment="1">
      <alignment horizontal="center" vertical="center" wrapText="1"/>
    </xf>
    <xf numFmtId="172" fontId="66" fillId="16" borderId="6" xfId="0" applyNumberFormat="1" applyFont="1" applyFill="1" applyBorder="1" applyAlignment="1">
      <alignment horizontal="center" vertical="center" wrapText="1"/>
    </xf>
    <xf numFmtId="0" fontId="53" fillId="0" borderId="6" xfId="0" applyFont="1" applyBorder="1" applyAlignment="1">
      <alignment horizontal="center" vertical="center" wrapText="1"/>
    </xf>
    <xf numFmtId="0" fontId="56" fillId="17" borderId="6" xfId="0" applyFont="1" applyFill="1" applyBorder="1" applyAlignment="1">
      <alignment horizontal="left" vertical="center" wrapText="1"/>
    </xf>
    <xf numFmtId="0" fontId="56" fillId="16" borderId="6" xfId="0" applyFont="1" applyFill="1" applyBorder="1" applyAlignment="1">
      <alignment horizontal="left" vertical="center" wrapText="1"/>
    </xf>
    <xf numFmtId="0" fontId="56" fillId="24" borderId="6" xfId="0" applyFont="1" applyFill="1" applyBorder="1" applyAlignment="1">
      <alignment horizontal="left" vertical="center" wrapText="1"/>
    </xf>
    <xf numFmtId="0" fontId="65" fillId="19" borderId="6" xfId="0" applyFont="1" applyFill="1" applyBorder="1" applyAlignment="1">
      <alignment horizontal="center" vertical="center" wrapText="1"/>
    </xf>
    <xf numFmtId="0" fontId="56" fillId="17" borderId="6" xfId="0" applyFont="1" applyFill="1" applyBorder="1" applyAlignment="1">
      <alignment horizontal="left" vertical="center" wrapText="1"/>
    </xf>
    <xf numFmtId="0" fontId="0" fillId="0" borderId="0" xfId="0"/>
    <xf numFmtId="0" fontId="49" fillId="0" borderId="6" xfId="0" applyFont="1" applyBorder="1" applyAlignment="1">
      <alignment horizontal="left" vertical="center" wrapText="1"/>
    </xf>
    <xf numFmtId="0" fontId="0" fillId="0" borderId="9" xfId="0" applyBorder="1"/>
    <xf numFmtId="0" fontId="0" fillId="0" borderId="8" xfId="0" applyBorder="1"/>
    <xf numFmtId="0" fontId="56" fillId="21" borderId="6" xfId="0" applyFont="1" applyFill="1" applyBorder="1" applyAlignment="1">
      <alignment horizontal="left" vertical="center" wrapText="1"/>
    </xf>
    <xf numFmtId="0" fontId="68" fillId="15" borderId="0" xfId="0" applyFont="1" applyFill="1" applyAlignment="1">
      <alignment horizontal="center" vertical="center" wrapText="1"/>
    </xf>
    <xf numFmtId="0" fontId="55" fillId="26" borderId="0" xfId="0" applyFont="1" applyFill="1" applyAlignment="1">
      <alignment horizontal="left" vertical="center" wrapText="1"/>
    </xf>
    <xf numFmtId="0" fontId="55" fillId="25" borderId="0" xfId="0" applyFont="1" applyFill="1" applyAlignment="1">
      <alignment horizontal="left" vertical="center" wrapText="1"/>
    </xf>
    <xf numFmtId="0" fontId="64" fillId="14" borderId="0" xfId="0" applyFont="1" applyFill="1" applyAlignment="1">
      <alignment horizontal="left" vertical="center" wrapText="1"/>
    </xf>
    <xf numFmtId="0" fontId="67" fillId="14" borderId="0" xfId="0" applyFont="1" applyFill="1" applyAlignment="1">
      <alignment horizontal="center" vertical="center" wrapText="1"/>
    </xf>
    <xf numFmtId="0" fontId="46" fillId="19" borderId="6" xfId="0" applyFont="1" applyFill="1" applyBorder="1" applyAlignment="1">
      <alignment horizontal="right" vertical="center" wrapText="1"/>
    </xf>
    <xf numFmtId="0" fontId="0" fillId="19" borderId="6" xfId="0" applyFill="1" applyBorder="1"/>
    <xf numFmtId="0" fontId="64" fillId="25" borderId="0" xfId="0" applyFont="1" applyFill="1" applyAlignment="1">
      <alignment horizontal="left" vertical="center" wrapText="1"/>
    </xf>
    <xf numFmtId="0" fontId="55" fillId="23" borderId="0" xfId="0" applyFont="1" applyFill="1" applyAlignment="1">
      <alignment horizontal="left" vertical="center" wrapText="1"/>
    </xf>
    <xf numFmtId="0" fontId="69" fillId="19" borderId="6" xfId="0" applyFont="1" applyFill="1" applyBorder="1" applyAlignment="1">
      <alignment horizontal="left" vertical="center" wrapText="1"/>
    </xf>
    <xf numFmtId="0" fontId="70" fillId="0" borderId="0" xfId="0" applyFont="1" applyAlignment="1">
      <alignment horizontal="left" vertical="center" wrapText="1"/>
    </xf>
    <xf numFmtId="0" fontId="55" fillId="15" borderId="0" xfId="0" applyFont="1" applyFill="1" applyAlignment="1">
      <alignment horizontal="left" vertical="center" wrapText="1"/>
    </xf>
    <xf numFmtId="0" fontId="64" fillId="23" borderId="0" xfId="0" applyFont="1" applyFill="1" applyAlignment="1">
      <alignment horizontal="left" vertical="center" wrapText="1"/>
    </xf>
    <xf numFmtId="0" fontId="10" fillId="0" borderId="0" xfId="0" applyFont="1"/>
    <xf numFmtId="0" fontId="3" fillId="7" borderId="0" xfId="0" applyFont="1" applyFill="1"/>
    <xf numFmtId="0" fontId="18" fillId="11" borderId="1" xfId="0" applyFont="1" applyFill="1" applyBorder="1" applyAlignment="1">
      <alignment horizontal="left" vertical="center" wrapText="1"/>
    </xf>
    <xf numFmtId="0" fontId="0" fillId="0" borderId="4" xfId="0" applyBorder="1"/>
    <xf numFmtId="0" fontId="4" fillId="11" borderId="1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4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26" fillId="5" borderId="0" xfId="0" applyFont="1" applyFill="1" applyAlignment="1">
      <alignment horizontal="left" vertical="center" wrapText="1"/>
    </xf>
    <xf numFmtId="0" fontId="23" fillId="2" borderId="0" xfId="0" applyFont="1" applyFill="1" applyAlignment="1">
      <alignment horizontal="center" vertical="center" wrapText="1"/>
    </xf>
    <xf numFmtId="0" fontId="27" fillId="9" borderId="3" xfId="0" applyFont="1" applyFill="1" applyBorder="1" applyAlignment="1">
      <alignment horizontal="left" vertical="center" wrapText="1"/>
    </xf>
    <xf numFmtId="0" fontId="0" fillId="0" borderId="5" xfId="0" applyBorder="1"/>
    <xf numFmtId="0" fontId="11" fillId="2" borderId="3" xfId="0" applyFont="1" applyFill="1" applyBorder="1" applyAlignment="1">
      <alignment horizontal="left" vertical="center" wrapText="1"/>
    </xf>
    <xf numFmtId="0" fontId="15" fillId="5" borderId="3" xfId="0" applyFont="1" applyFill="1" applyBorder="1" applyAlignment="1">
      <alignment horizontal="left" vertical="center" wrapText="1"/>
    </xf>
    <xf numFmtId="0" fontId="28" fillId="2" borderId="0" xfId="0" applyFont="1" applyFill="1" applyAlignment="1">
      <alignment horizontal="center" vertical="center" wrapText="1"/>
    </xf>
    <xf numFmtId="0" fontId="5" fillId="9" borderId="3" xfId="0" applyFont="1" applyFill="1" applyBorder="1" applyAlignment="1">
      <alignment horizontal="left" vertical="center" wrapText="1"/>
    </xf>
    <xf numFmtId="0" fontId="26" fillId="8" borderId="0" xfId="0" applyFont="1" applyFill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5" fillId="8" borderId="3" xfId="0" applyFont="1" applyFill="1" applyBorder="1" applyAlignment="1">
      <alignment horizontal="left" vertical="center" wrapText="1"/>
    </xf>
    <xf numFmtId="0" fontId="20" fillId="11" borderId="1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left" vertical="center" wrapText="1"/>
    </xf>
    <xf numFmtId="0" fontId="24" fillId="2" borderId="1" xfId="0" applyFont="1" applyFill="1" applyBorder="1" applyAlignment="1">
      <alignment horizontal="left" vertical="center" wrapText="1"/>
    </xf>
    <xf numFmtId="0" fontId="24" fillId="4" borderId="0" xfId="0" applyFont="1" applyFill="1" applyAlignment="1">
      <alignment horizontal="left" vertical="center" wrapText="1"/>
    </xf>
    <xf numFmtId="0" fontId="34" fillId="2" borderId="0" xfId="0" applyFont="1" applyFill="1" applyAlignment="1">
      <alignment horizontal="center" vertical="center" wrapText="1"/>
    </xf>
    <xf numFmtId="0" fontId="49" fillId="0" borderId="0" xfId="0" applyFont="1" applyAlignment="1">
      <alignment horizontal="left" vertical="center" wrapText="1"/>
    </xf>
    <xf numFmtId="0" fontId="42" fillId="16" borderId="6" xfId="0" applyFont="1" applyFill="1" applyBorder="1" applyAlignment="1">
      <alignment horizontal="center" vertical="center" wrapText="1"/>
    </xf>
    <xf numFmtId="0" fontId="44" fillId="17" borderId="6" xfId="0" applyFont="1" applyFill="1" applyBorder="1" applyAlignment="1">
      <alignment horizontal="center" vertical="center" wrapText="1"/>
    </xf>
    <xf numFmtId="0" fontId="45" fillId="18" borderId="6" xfId="0" applyFont="1" applyFill="1" applyBorder="1" applyAlignment="1">
      <alignment horizontal="center" vertical="center" wrapText="1"/>
    </xf>
    <xf numFmtId="0" fontId="40" fillId="15" borderId="0" xfId="0" applyFont="1" applyFill="1" applyAlignment="1">
      <alignment horizontal="center" vertical="center" wrapText="1"/>
    </xf>
    <xf numFmtId="0" fontId="39" fillId="14" borderId="0" xfId="0" applyFont="1" applyFill="1" applyAlignment="1">
      <alignment horizontal="center" vertical="center" wrapText="1"/>
    </xf>
    <xf numFmtId="0" fontId="41" fillId="15" borderId="6" xfId="0" applyFont="1" applyFill="1" applyBorder="1" applyAlignment="1">
      <alignment horizontal="center" vertical="center" wrapText="1"/>
    </xf>
    <xf numFmtId="0" fontId="0" fillId="0" borderId="7" xfId="0" applyBorder="1"/>
    <xf numFmtId="0" fontId="49" fillId="0" borderId="6" xfId="0" applyFont="1" applyBorder="1" applyAlignment="1">
      <alignment horizontal="center" vertical="center" wrapText="1"/>
    </xf>
    <xf numFmtId="0" fontId="46" fillId="0" borderId="6" xfId="0" applyFont="1" applyBorder="1" applyAlignment="1">
      <alignment horizontal="center" vertical="center" wrapText="1"/>
    </xf>
    <xf numFmtId="0" fontId="46" fillId="17" borderId="6" xfId="0" applyFont="1" applyFill="1" applyBorder="1" applyAlignment="1">
      <alignment horizontal="center" vertical="center" wrapText="1"/>
    </xf>
    <xf numFmtId="0" fontId="55" fillId="14" borderId="0" xfId="0" applyFont="1" applyFill="1" applyAlignment="1">
      <alignment horizontal="left" vertical="center" wrapText="1"/>
    </xf>
    <xf numFmtId="0" fontId="39" fillId="23" borderId="0" xfId="0" applyFont="1" applyFill="1" applyAlignment="1">
      <alignment horizontal="center" vertical="center" wrapText="1"/>
    </xf>
    <xf numFmtId="0" fontId="51" fillId="16" borderId="6" xfId="0" applyFont="1" applyFill="1" applyBorder="1" applyAlignment="1">
      <alignment horizontal="right" vertical="center"/>
    </xf>
    <xf numFmtId="0" fontId="51" fillId="16" borderId="6" xfId="0" applyFont="1" applyFill="1" applyBorder="1" applyAlignment="1">
      <alignment horizontal="center" vertical="center" wrapText="1"/>
    </xf>
    <xf numFmtId="0" fontId="0" fillId="16" borderId="6" xfId="0" applyFill="1" applyBorder="1"/>
    <xf numFmtId="0" fontId="58" fillId="15" borderId="0" xfId="0" applyFont="1" applyFill="1" applyAlignment="1">
      <alignment horizontal="left" vertical="center" wrapText="1"/>
    </xf>
    <xf numFmtId="0" fontId="57" fillId="23" borderId="0" xfId="0" applyFont="1" applyFill="1" applyAlignment="1">
      <alignment horizontal="center" vertical="center" wrapText="1"/>
    </xf>
    <xf numFmtId="0" fontId="63" fillId="0" borderId="0" xfId="0" applyFont="1" applyAlignment="1">
      <alignment horizontal="left" vertical="center" wrapText="1"/>
    </xf>
    <xf numFmtId="0" fontId="60" fillId="23" borderId="0" xfId="0" applyFont="1" applyFill="1" applyAlignment="1">
      <alignment horizontal="center" vertical="center" wrapText="1"/>
    </xf>
    <xf numFmtId="0" fontId="27" fillId="16" borderId="6" xfId="0" applyFont="1" applyFill="1" applyBorder="1" applyAlignment="1">
      <alignment horizontal="center" vertical="center" wrapText="1"/>
    </xf>
    <xf numFmtId="0" fontId="11" fillId="27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28" borderId="6" xfId="0" applyFont="1" applyFill="1" applyBorder="1" applyAlignment="1">
      <alignment horizontal="center" vertical="center" wrapText="1"/>
    </xf>
    <xf numFmtId="0" fontId="41" fillId="28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7F6000"/>
      <rgbColor rgb="FF800080"/>
      <rgbColor rgb="FF1F6E6E"/>
      <rgbColor rgb="FFBFBFBF"/>
      <rgbColor rgb="FF808080"/>
      <rgbColor rgb="FF9999FF"/>
      <rgbColor rgb="FF993366"/>
      <rgbColor rgb="FFFFFDE7"/>
      <rgbColor rgb="FFDDEBF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2CC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843C0C"/>
      <rgbColor rgb="FF993366"/>
      <rgbColor rgb="FF2E5496"/>
      <rgbColor rgb="FF1F4E7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Banca final por percentil — los 3 Kelly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½ Kelly (conservador)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'Kelly · Percentiles'!$B$7:$B$15</c:f>
              <c:strCache>
                <c:ptCount val="9"/>
                <c:pt idx="0">
                  <c:v>P10 (peor 10%)</c:v>
                </c:pt>
                <c:pt idx="1">
                  <c:v>P20</c:v>
                </c:pt>
                <c:pt idx="2">
                  <c:v>P30</c:v>
                </c:pt>
                <c:pt idx="3">
                  <c:v>P40</c:v>
                </c:pt>
                <c:pt idx="4">
                  <c:v>P50 (mediana)</c:v>
                </c:pt>
                <c:pt idx="5">
                  <c:v>P60</c:v>
                </c:pt>
                <c:pt idx="6">
                  <c:v>P70</c:v>
                </c:pt>
                <c:pt idx="7">
                  <c:v>P80</c:v>
                </c:pt>
                <c:pt idx="8">
                  <c:v>P90 (mejor 10%)</c:v>
                </c:pt>
              </c:strCache>
            </c:strRef>
          </c:cat>
          <c:val>
            <c:numRef>
              <c:f>'Kelly · Percentiles'!$C$7:$C$15</c:f>
              <c:numCache>
                <c:formatCode>"S/ "#,##0</c:formatCode>
                <c:ptCount val="9"/>
                <c:pt idx="0">
                  <c:v>93</c:v>
                </c:pt>
                <c:pt idx="1">
                  <c:v>126</c:v>
                </c:pt>
                <c:pt idx="2">
                  <c:v>157</c:v>
                </c:pt>
                <c:pt idx="3">
                  <c:v>187</c:v>
                </c:pt>
                <c:pt idx="4">
                  <c:v>220</c:v>
                </c:pt>
                <c:pt idx="5">
                  <c:v>259</c:v>
                </c:pt>
                <c:pt idx="6">
                  <c:v>305</c:v>
                </c:pt>
                <c:pt idx="7">
                  <c:v>366</c:v>
                </c:pt>
                <c:pt idx="8">
                  <c:v>461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15F-8C48-B2F9-36B0581A2C14}"/>
            </c:ext>
          </c:extLst>
        </c:ser>
        <c:ser>
          <c:idx val="1"/>
          <c:order val="1"/>
          <c:tx>
            <c:v>⅔ Kelly (medio)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'Kelly · Percentiles'!$B$7:$B$15</c:f>
              <c:strCache>
                <c:ptCount val="9"/>
                <c:pt idx="0">
                  <c:v>P10 (peor 10%)</c:v>
                </c:pt>
                <c:pt idx="1">
                  <c:v>P20</c:v>
                </c:pt>
                <c:pt idx="2">
                  <c:v>P30</c:v>
                </c:pt>
                <c:pt idx="3">
                  <c:v>P40</c:v>
                </c:pt>
                <c:pt idx="4">
                  <c:v>P50 (mediana)</c:v>
                </c:pt>
                <c:pt idx="5">
                  <c:v>P60</c:v>
                </c:pt>
                <c:pt idx="6">
                  <c:v>P70</c:v>
                </c:pt>
                <c:pt idx="7">
                  <c:v>P80</c:v>
                </c:pt>
                <c:pt idx="8">
                  <c:v>P90 (mejor 10%)</c:v>
                </c:pt>
              </c:strCache>
            </c:strRef>
          </c:cat>
          <c:val>
            <c:numRef>
              <c:f>'Kelly · Percentiles'!$E$7:$E$15</c:f>
              <c:numCache>
                <c:formatCode>"S/ "#,##0</c:formatCode>
                <c:ptCount val="9"/>
                <c:pt idx="0">
                  <c:v>81</c:v>
                </c:pt>
                <c:pt idx="1">
                  <c:v>123</c:v>
                </c:pt>
                <c:pt idx="2">
                  <c:v>164</c:v>
                </c:pt>
                <c:pt idx="3">
                  <c:v>208</c:v>
                </c:pt>
                <c:pt idx="4">
                  <c:v>260</c:v>
                </c:pt>
                <c:pt idx="5">
                  <c:v>324</c:v>
                </c:pt>
                <c:pt idx="6">
                  <c:v>402</c:v>
                </c:pt>
                <c:pt idx="7">
                  <c:v>517</c:v>
                </c:pt>
                <c:pt idx="8">
                  <c:v>706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15F-8C48-B2F9-36B0581A2C14}"/>
            </c:ext>
          </c:extLst>
        </c:ser>
        <c:ser>
          <c:idx val="2"/>
          <c:order val="2"/>
          <c:tx>
            <c:v>Kelly 100% (agresivo)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'Kelly · Percentiles'!$B$7:$B$15</c:f>
              <c:strCache>
                <c:ptCount val="9"/>
                <c:pt idx="0">
                  <c:v>P10 (peor 10%)</c:v>
                </c:pt>
                <c:pt idx="1">
                  <c:v>P20</c:v>
                </c:pt>
                <c:pt idx="2">
                  <c:v>P30</c:v>
                </c:pt>
                <c:pt idx="3">
                  <c:v>P40</c:v>
                </c:pt>
                <c:pt idx="4">
                  <c:v>P50 (mediana)</c:v>
                </c:pt>
                <c:pt idx="5">
                  <c:v>P60</c:v>
                </c:pt>
                <c:pt idx="6">
                  <c:v>P70</c:v>
                </c:pt>
                <c:pt idx="7">
                  <c:v>P80</c:v>
                </c:pt>
                <c:pt idx="8">
                  <c:v>P90 (mejor 10%)</c:v>
                </c:pt>
              </c:strCache>
            </c:strRef>
          </c:cat>
          <c:val>
            <c:numRef>
              <c:f>'Kelly · Percentiles'!$G$7:$G$15</c:f>
              <c:numCache>
                <c:formatCode>"S/ "#,##0</c:formatCode>
                <c:ptCount val="9"/>
                <c:pt idx="0">
                  <c:v>48</c:v>
                </c:pt>
                <c:pt idx="1">
                  <c:v>94</c:v>
                </c:pt>
                <c:pt idx="2">
                  <c:v>149</c:v>
                </c:pt>
                <c:pt idx="3">
                  <c:v>219</c:v>
                </c:pt>
                <c:pt idx="4">
                  <c:v>314</c:v>
                </c:pt>
                <c:pt idx="5">
                  <c:v>438</c:v>
                </c:pt>
                <c:pt idx="6">
                  <c:v>600</c:v>
                </c:pt>
                <c:pt idx="7">
                  <c:v>909</c:v>
                </c:pt>
                <c:pt idx="8">
                  <c:v>1420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15F-8C48-B2F9-36B0581A2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Percentil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Banca (S/)</a:t>
                </a:r>
              </a:p>
            </c:rich>
          </c:tx>
          <c:overlay val="1"/>
        </c:title>
        <c:numFmt formatCode="&quot;S/ &quot;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19</xdr:row>
      <xdr:rowOff>0</xdr:rowOff>
    </xdr:from>
    <xdr:ext cx="72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41"/>
  <sheetViews>
    <sheetView showGridLines="0" topLeftCell="A3" zoomScale="200" workbookViewId="0">
      <selection activeCell="C7" sqref="C7"/>
    </sheetView>
  </sheetViews>
  <sheetFormatPr baseColWidth="10" defaultColWidth="8.83203125" defaultRowHeight="15" x14ac:dyDescent="0.2"/>
  <cols>
    <col min="1" max="1" width="2" customWidth="1"/>
    <col min="2" max="2" width="26" customWidth="1"/>
    <col min="3" max="3" width="13" customWidth="1"/>
    <col min="4" max="4" width="19" customWidth="1"/>
    <col min="5" max="5" width="21" customWidth="1"/>
    <col min="6" max="6" width="34" customWidth="1"/>
    <col min="7" max="7" width="2" customWidth="1"/>
  </cols>
  <sheetData>
    <row r="2" spans="2:6" ht="32" customHeight="1" x14ac:dyDescent="0.2">
      <c r="B2" s="152" t="s">
        <v>0</v>
      </c>
      <c r="C2" s="143"/>
      <c r="D2" s="143"/>
      <c r="E2" s="143"/>
      <c r="F2" s="143"/>
    </row>
    <row r="3" spans="2:6" ht="22" customHeight="1" x14ac:dyDescent="0.2">
      <c r="B3" s="148" t="s">
        <v>1</v>
      </c>
      <c r="C3" s="143"/>
      <c r="D3" s="143"/>
      <c r="E3" s="143"/>
      <c r="F3" s="143"/>
    </row>
    <row r="5" spans="2:6" ht="24" customHeight="1" x14ac:dyDescent="0.2">
      <c r="B5" s="160" t="s">
        <v>2</v>
      </c>
      <c r="C5" s="143"/>
      <c r="D5" s="143"/>
      <c r="E5" s="143"/>
      <c r="F5" s="143"/>
    </row>
    <row r="6" spans="2:6" ht="24" customHeight="1" x14ac:dyDescent="0.2">
      <c r="B6" s="122" t="s">
        <v>3</v>
      </c>
      <c r="C6" s="122" t="s">
        <v>4</v>
      </c>
      <c r="D6" s="122" t="s">
        <v>5</v>
      </c>
      <c r="E6" s="122" t="s">
        <v>6</v>
      </c>
      <c r="F6" s="122" t="s">
        <v>7</v>
      </c>
    </row>
    <row r="7" spans="2:6" ht="46" customHeight="1" x14ac:dyDescent="0.2">
      <c r="B7" s="114" t="s">
        <v>8</v>
      </c>
      <c r="C7" s="115" t="s">
        <v>9</v>
      </c>
      <c r="D7" s="137" t="s">
        <v>10</v>
      </c>
      <c r="E7" s="111" t="s">
        <v>11</v>
      </c>
      <c r="F7" s="111" t="s">
        <v>12</v>
      </c>
    </row>
    <row r="8" spans="2:6" ht="46" customHeight="1" x14ac:dyDescent="0.2">
      <c r="B8" s="138" t="s">
        <v>13</v>
      </c>
      <c r="C8" s="115" t="s">
        <v>14</v>
      </c>
      <c r="D8" s="137" t="s">
        <v>15</v>
      </c>
      <c r="E8" s="111" t="s">
        <v>16</v>
      </c>
      <c r="F8" s="111" t="s">
        <v>17</v>
      </c>
    </row>
    <row r="9" spans="2:6" ht="46" customHeight="1" x14ac:dyDescent="0.2">
      <c r="B9" s="139" t="s">
        <v>18</v>
      </c>
      <c r="C9" s="115" t="s">
        <v>19</v>
      </c>
      <c r="D9" s="137" t="s">
        <v>20</v>
      </c>
      <c r="E9" s="111" t="s">
        <v>21</v>
      </c>
      <c r="F9" s="111" t="s">
        <v>22</v>
      </c>
    </row>
    <row r="10" spans="2:6" ht="46" customHeight="1" x14ac:dyDescent="0.2">
      <c r="B10" s="140" t="s">
        <v>23</v>
      </c>
      <c r="C10" s="115" t="s">
        <v>24</v>
      </c>
      <c r="D10" s="137" t="s">
        <v>25</v>
      </c>
      <c r="E10" s="111" t="s">
        <v>26</v>
      </c>
      <c r="F10" s="111" t="s">
        <v>27</v>
      </c>
    </row>
    <row r="11" spans="2:6" ht="20" customHeight="1" x14ac:dyDescent="0.2">
      <c r="B11" s="153" t="s">
        <v>28</v>
      </c>
      <c r="C11" s="154"/>
      <c r="D11" s="141" t="s">
        <v>29</v>
      </c>
      <c r="E11" s="157" t="s">
        <v>30</v>
      </c>
      <c r="F11" s="143"/>
    </row>
    <row r="13" spans="2:6" ht="22" customHeight="1" x14ac:dyDescent="0.2">
      <c r="B13" s="155" t="s">
        <v>31</v>
      </c>
      <c r="C13" s="143"/>
      <c r="D13" s="143"/>
      <c r="E13" s="143"/>
      <c r="F13" s="143"/>
    </row>
    <row r="14" spans="2:6" ht="40" customHeight="1" x14ac:dyDescent="0.2">
      <c r="B14" s="142" t="s">
        <v>32</v>
      </c>
      <c r="C14" s="143"/>
      <c r="D14" s="144" t="s">
        <v>33</v>
      </c>
      <c r="E14" s="143"/>
      <c r="F14" s="143"/>
    </row>
    <row r="15" spans="2:6" ht="40" customHeight="1" x14ac:dyDescent="0.2">
      <c r="B15" s="142" t="s">
        <v>34</v>
      </c>
      <c r="C15" s="143"/>
      <c r="D15" s="144" t="s">
        <v>35</v>
      </c>
      <c r="E15" s="143"/>
      <c r="F15" s="143"/>
    </row>
    <row r="16" spans="2:6" ht="40" customHeight="1" x14ac:dyDescent="0.2">
      <c r="B16" s="142" t="s">
        <v>36</v>
      </c>
      <c r="C16" s="143"/>
      <c r="D16" s="144" t="s">
        <v>37</v>
      </c>
      <c r="E16" s="143"/>
      <c r="F16" s="143"/>
    </row>
    <row r="17" spans="2:6" ht="40" customHeight="1" x14ac:dyDescent="0.2">
      <c r="B17" s="142" t="s">
        <v>38</v>
      </c>
      <c r="C17" s="143"/>
      <c r="D17" s="144" t="s">
        <v>39</v>
      </c>
      <c r="E17" s="143"/>
      <c r="F17" s="143"/>
    </row>
    <row r="18" spans="2:6" ht="40" customHeight="1" x14ac:dyDescent="0.2">
      <c r="B18" s="142" t="s">
        <v>40</v>
      </c>
      <c r="C18" s="143"/>
      <c r="D18" s="144" t="s">
        <v>41</v>
      </c>
      <c r="E18" s="143"/>
      <c r="F18" s="143"/>
    </row>
    <row r="19" spans="2:6" ht="18" customHeight="1" x14ac:dyDescent="0.2">
      <c r="B19" s="158" t="s">
        <v>42</v>
      </c>
      <c r="C19" s="143"/>
      <c r="D19" s="143"/>
      <c r="E19" s="143"/>
      <c r="F19" s="143"/>
    </row>
    <row r="21" spans="2:6" ht="22" customHeight="1" x14ac:dyDescent="0.2">
      <c r="B21" s="151" t="s">
        <v>43</v>
      </c>
      <c r="C21" s="143"/>
      <c r="D21" s="143"/>
      <c r="E21" s="143"/>
      <c r="F21" s="143"/>
    </row>
    <row r="22" spans="2:6" ht="22" customHeight="1" x14ac:dyDescent="0.2">
      <c r="B22" s="149" t="s">
        <v>44</v>
      </c>
      <c r="C22" s="143"/>
      <c r="D22" s="143"/>
      <c r="E22" s="143"/>
      <c r="F22" s="143"/>
    </row>
    <row r="23" spans="2:6" ht="20" customHeight="1" x14ac:dyDescent="0.2">
      <c r="B23" s="147" t="s">
        <v>45</v>
      </c>
      <c r="C23" s="144" t="s">
        <v>46</v>
      </c>
      <c r="D23" s="145"/>
      <c r="E23" s="145"/>
      <c r="F23" s="146"/>
    </row>
    <row r="24" spans="2:6" ht="20" customHeight="1" x14ac:dyDescent="0.2">
      <c r="B24" s="147" t="s">
        <v>47</v>
      </c>
      <c r="C24" s="144" t="s">
        <v>48</v>
      </c>
      <c r="D24" s="145"/>
      <c r="E24" s="145"/>
      <c r="F24" s="146"/>
    </row>
    <row r="25" spans="2:6" ht="20" customHeight="1" x14ac:dyDescent="0.2">
      <c r="B25" s="147" t="s">
        <v>49</v>
      </c>
      <c r="C25" s="144" t="s">
        <v>50</v>
      </c>
      <c r="D25" s="145"/>
      <c r="E25" s="145"/>
      <c r="F25" s="146"/>
    </row>
    <row r="27" spans="2:6" ht="22" customHeight="1" x14ac:dyDescent="0.2">
      <c r="B27" s="150" t="s">
        <v>51</v>
      </c>
      <c r="C27" s="143"/>
      <c r="D27" s="143"/>
      <c r="E27" s="143"/>
      <c r="F27" s="143"/>
    </row>
    <row r="28" spans="2:6" ht="20" customHeight="1" x14ac:dyDescent="0.2">
      <c r="B28" s="147" t="s">
        <v>52</v>
      </c>
      <c r="C28" s="144" t="s">
        <v>53</v>
      </c>
      <c r="D28" s="145"/>
      <c r="E28" s="145"/>
      <c r="F28" s="146"/>
    </row>
    <row r="29" spans="2:6" ht="20" customHeight="1" x14ac:dyDescent="0.2">
      <c r="B29" s="147" t="s">
        <v>54</v>
      </c>
      <c r="C29" s="144" t="s">
        <v>55</v>
      </c>
      <c r="D29" s="145"/>
      <c r="E29" s="145"/>
      <c r="F29" s="146"/>
    </row>
    <row r="30" spans="2:6" ht="20" customHeight="1" x14ac:dyDescent="0.2">
      <c r="B30" s="147" t="s">
        <v>56</v>
      </c>
      <c r="C30" s="144" t="s">
        <v>57</v>
      </c>
      <c r="D30" s="145"/>
      <c r="E30" s="145"/>
      <c r="F30" s="146"/>
    </row>
    <row r="31" spans="2:6" ht="20" customHeight="1" x14ac:dyDescent="0.2">
      <c r="B31" s="147" t="s">
        <v>58</v>
      </c>
      <c r="C31" s="144" t="s">
        <v>59</v>
      </c>
      <c r="D31" s="145"/>
      <c r="E31" s="145"/>
      <c r="F31" s="146"/>
    </row>
    <row r="33" spans="2:6" ht="22" customHeight="1" x14ac:dyDescent="0.2">
      <c r="B33" s="159" t="s">
        <v>60</v>
      </c>
      <c r="C33" s="143"/>
      <c r="D33" s="143"/>
      <c r="E33" s="143"/>
      <c r="F33" s="143"/>
    </row>
    <row r="34" spans="2:6" ht="20" customHeight="1" x14ac:dyDescent="0.2">
      <c r="B34" s="147" t="s">
        <v>61</v>
      </c>
      <c r="C34" s="144" t="s">
        <v>62</v>
      </c>
      <c r="D34" s="145"/>
      <c r="E34" s="145"/>
      <c r="F34" s="146"/>
    </row>
    <row r="35" spans="2:6" ht="20" customHeight="1" x14ac:dyDescent="0.2">
      <c r="B35" s="147" t="s">
        <v>63</v>
      </c>
      <c r="C35" s="144" t="s">
        <v>64</v>
      </c>
      <c r="D35" s="145"/>
      <c r="E35" s="145"/>
      <c r="F35" s="146"/>
    </row>
    <row r="36" spans="2:6" ht="20" customHeight="1" x14ac:dyDescent="0.2">
      <c r="B36" s="147" t="s">
        <v>65</v>
      </c>
      <c r="C36" s="144" t="s">
        <v>66</v>
      </c>
      <c r="D36" s="145"/>
      <c r="E36" s="145"/>
      <c r="F36" s="146"/>
    </row>
    <row r="38" spans="2:6" ht="22" customHeight="1" x14ac:dyDescent="0.2">
      <c r="B38" s="156" t="s">
        <v>67</v>
      </c>
      <c r="C38" s="143"/>
      <c r="D38" s="143"/>
      <c r="E38" s="143"/>
      <c r="F38" s="143"/>
    </row>
    <row r="39" spans="2:6" ht="20" customHeight="1" x14ac:dyDescent="0.2">
      <c r="B39" s="147" t="s">
        <v>68</v>
      </c>
      <c r="C39" s="144" t="s">
        <v>69</v>
      </c>
      <c r="D39" s="145"/>
      <c r="E39" s="145"/>
      <c r="F39" s="146"/>
    </row>
    <row r="40" spans="2:6" ht="20" customHeight="1" x14ac:dyDescent="0.2">
      <c r="B40" s="147" t="s">
        <v>70</v>
      </c>
      <c r="C40" s="144" t="s">
        <v>71</v>
      </c>
      <c r="D40" s="145"/>
      <c r="E40" s="145"/>
      <c r="F40" s="146"/>
    </row>
    <row r="41" spans="2:6" ht="20" customHeight="1" x14ac:dyDescent="0.2">
      <c r="B41" s="147" t="s">
        <v>72</v>
      </c>
      <c r="C41" s="144" t="s">
        <v>73</v>
      </c>
      <c r="D41" s="145"/>
      <c r="E41" s="145"/>
      <c r="F41" s="146"/>
    </row>
  </sheetData>
  <mergeCells count="48">
    <mergeCell ref="C41:F41"/>
    <mergeCell ref="B23"/>
    <mergeCell ref="C40:F40"/>
    <mergeCell ref="C31:F31"/>
    <mergeCell ref="B15:C15"/>
    <mergeCell ref="B33:F33"/>
    <mergeCell ref="B29"/>
    <mergeCell ref="B34"/>
    <mergeCell ref="B28"/>
    <mergeCell ref="C36:F36"/>
    <mergeCell ref="B41"/>
    <mergeCell ref="B21:F21"/>
    <mergeCell ref="B35"/>
    <mergeCell ref="B2:F2"/>
    <mergeCell ref="B11:C11"/>
    <mergeCell ref="C34:F34"/>
    <mergeCell ref="B25"/>
    <mergeCell ref="D18:F18"/>
    <mergeCell ref="C30:F30"/>
    <mergeCell ref="B14:C14"/>
    <mergeCell ref="B17:C17"/>
    <mergeCell ref="C24:F24"/>
    <mergeCell ref="D15:F15"/>
    <mergeCell ref="B13:F13"/>
    <mergeCell ref="B31"/>
    <mergeCell ref="D14:F14"/>
    <mergeCell ref="B3:F3"/>
    <mergeCell ref="B24"/>
    <mergeCell ref="D17:F17"/>
    <mergeCell ref="B22:F22"/>
    <mergeCell ref="B18:C18"/>
    <mergeCell ref="D16:F16"/>
    <mergeCell ref="E11:F11"/>
    <mergeCell ref="B19:F19"/>
    <mergeCell ref="B5:F5"/>
    <mergeCell ref="B16:C16"/>
    <mergeCell ref="C23:F23"/>
    <mergeCell ref="B40"/>
    <mergeCell ref="C39:F39"/>
    <mergeCell ref="B30"/>
    <mergeCell ref="B36"/>
    <mergeCell ref="B27:F27"/>
    <mergeCell ref="C28:F28"/>
    <mergeCell ref="B38:F38"/>
    <mergeCell ref="C35:F35"/>
    <mergeCell ref="C29:F29"/>
    <mergeCell ref="B39"/>
    <mergeCell ref="C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zoomScaleNormal="100" workbookViewId="0"/>
  </sheetViews>
  <sheetFormatPr baseColWidth="10" defaultColWidth="8.6640625" defaultRowHeight="15" x14ac:dyDescent="0.2"/>
  <cols>
    <col min="1" max="1" width="42" customWidth="1"/>
    <col min="2" max="2" width="22" customWidth="1"/>
  </cols>
  <sheetData>
    <row r="1" spans="1:8" ht="19.5" customHeight="1" x14ac:dyDescent="0.2">
      <c r="A1" s="2" t="s">
        <v>74</v>
      </c>
    </row>
    <row r="2" spans="1:8" ht="15" customHeight="1" x14ac:dyDescent="0.2">
      <c r="A2" s="3" t="s">
        <v>75</v>
      </c>
    </row>
    <row r="4" spans="1:8" ht="15" customHeight="1" x14ac:dyDescent="0.2">
      <c r="A4" s="4" t="s">
        <v>76</v>
      </c>
    </row>
    <row r="5" spans="1:8" ht="15" customHeight="1" x14ac:dyDescent="0.2">
      <c r="A5" s="161" t="s">
        <v>77</v>
      </c>
      <c r="B5" s="143"/>
      <c r="C5" s="143"/>
      <c r="D5" s="143"/>
      <c r="E5" s="143"/>
      <c r="F5" s="143"/>
      <c r="G5" s="143"/>
      <c r="H5" s="143"/>
    </row>
    <row r="6" spans="1:8" ht="15" customHeight="1" x14ac:dyDescent="0.2">
      <c r="A6" s="161" t="s">
        <v>78</v>
      </c>
      <c r="B6" s="143"/>
      <c r="C6" s="143"/>
      <c r="D6" s="143"/>
      <c r="E6" s="143"/>
      <c r="F6" s="143"/>
      <c r="G6" s="143"/>
      <c r="H6" s="143"/>
    </row>
    <row r="7" spans="1:8" ht="15" customHeight="1" x14ac:dyDescent="0.2">
      <c r="A7" s="161" t="s">
        <v>79</v>
      </c>
      <c r="B7" s="143"/>
      <c r="C7" s="143"/>
      <c r="D7" s="143"/>
      <c r="E7" s="143"/>
      <c r="F7" s="143"/>
      <c r="G7" s="143"/>
      <c r="H7" s="143"/>
    </row>
    <row r="8" spans="1:8" ht="15" customHeight="1" x14ac:dyDescent="0.2">
      <c r="A8" s="161" t="s">
        <v>80</v>
      </c>
      <c r="B8" s="143"/>
      <c r="C8" s="143"/>
      <c r="D8" s="143"/>
      <c r="E8" s="143"/>
      <c r="F8" s="143"/>
      <c r="G8" s="143"/>
      <c r="H8" s="143"/>
    </row>
    <row r="10" spans="1:8" ht="15" customHeight="1" x14ac:dyDescent="0.2">
      <c r="A10" s="4" t="s">
        <v>81</v>
      </c>
    </row>
    <row r="11" spans="1:8" ht="15" customHeight="1" x14ac:dyDescent="0.2">
      <c r="A11" s="6" t="s">
        <v>82</v>
      </c>
      <c r="B11" s="6" t="s">
        <v>83</v>
      </c>
      <c r="C11" s="6" t="s">
        <v>84</v>
      </c>
      <c r="D11" s="6" t="s">
        <v>85</v>
      </c>
    </row>
    <row r="12" spans="1:8" ht="15" customHeight="1" x14ac:dyDescent="0.2">
      <c r="A12" s="7" t="s">
        <v>86</v>
      </c>
      <c r="B12" s="8" t="s">
        <v>87</v>
      </c>
      <c r="C12" s="8" t="s">
        <v>88</v>
      </c>
      <c r="D12" s="8" t="s">
        <v>89</v>
      </c>
    </row>
    <row r="13" spans="1:8" ht="15" customHeight="1" x14ac:dyDescent="0.2">
      <c r="A13" s="7" t="s">
        <v>90</v>
      </c>
      <c r="B13" s="8" t="s">
        <v>91</v>
      </c>
      <c r="C13" s="8" t="s">
        <v>92</v>
      </c>
      <c r="D13" s="8" t="s">
        <v>93</v>
      </c>
    </row>
    <row r="14" spans="1:8" ht="15" customHeight="1" x14ac:dyDescent="0.2">
      <c r="A14" s="7" t="s">
        <v>94</v>
      </c>
      <c r="B14" s="8" t="s">
        <v>95</v>
      </c>
      <c r="C14" s="8" t="s">
        <v>96</v>
      </c>
      <c r="D14" s="8" t="s">
        <v>97</v>
      </c>
    </row>
    <row r="16" spans="1:8" ht="15" customHeight="1" x14ac:dyDescent="0.2">
      <c r="A16" s="9" t="s">
        <v>98</v>
      </c>
    </row>
    <row r="17" spans="1:1" ht="15" customHeight="1" x14ac:dyDescent="0.2">
      <c r="A17" s="9" t="s">
        <v>99</v>
      </c>
    </row>
    <row r="19" spans="1:1" ht="15" customHeight="1" x14ac:dyDescent="0.2">
      <c r="A19" s="5" t="s">
        <v>100</v>
      </c>
    </row>
  </sheetData>
  <mergeCells count="4">
    <mergeCell ref="A7:H7"/>
    <mergeCell ref="A8:H8"/>
    <mergeCell ref="A6:H6"/>
    <mergeCell ref="A5:H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9"/>
  <sheetViews>
    <sheetView topLeftCell="A29" zoomScale="106" zoomScaleNormal="100" workbookViewId="0">
      <selection sqref="A1:F1"/>
    </sheetView>
  </sheetViews>
  <sheetFormatPr baseColWidth="10" defaultColWidth="8.6640625" defaultRowHeight="15" x14ac:dyDescent="0.2"/>
  <cols>
    <col min="1" max="1" width="5" customWidth="1"/>
    <col min="2" max="2" width="26" customWidth="1"/>
    <col min="3" max="3" width="30" customWidth="1"/>
    <col min="4" max="4" width="12" customWidth="1"/>
    <col min="5" max="5" width="14" customWidth="1"/>
    <col min="6" max="6" width="12" customWidth="1"/>
  </cols>
  <sheetData>
    <row r="1" spans="1:6" ht="15" customHeight="1" x14ac:dyDescent="0.2">
      <c r="A1" s="162" t="s">
        <v>101</v>
      </c>
      <c r="B1" s="143"/>
      <c r="C1" s="143"/>
      <c r="D1" s="143"/>
      <c r="E1" s="143"/>
      <c r="F1" s="143"/>
    </row>
    <row r="2" spans="1:6" ht="15" customHeight="1" x14ac:dyDescent="0.2">
      <c r="A2" s="10" t="s">
        <v>102</v>
      </c>
      <c r="B2" s="10" t="s">
        <v>103</v>
      </c>
      <c r="C2" s="10" t="s">
        <v>104</v>
      </c>
      <c r="D2" s="10" t="s">
        <v>105</v>
      </c>
      <c r="E2" s="10" t="s">
        <v>106</v>
      </c>
      <c r="F2" s="10" t="s">
        <v>107</v>
      </c>
    </row>
    <row r="3" spans="1:6" ht="15" customHeight="1" x14ac:dyDescent="0.2">
      <c r="A3" s="11">
        <v>2</v>
      </c>
      <c r="B3" s="12" t="s">
        <v>108</v>
      </c>
      <c r="C3" s="12" t="s">
        <v>109</v>
      </c>
      <c r="D3" s="13">
        <v>1.26</v>
      </c>
      <c r="E3" s="99">
        <f t="shared" ref="E3:E22" si="0">1/D3</f>
        <v>0.79365079365079361</v>
      </c>
      <c r="F3" s="100">
        <v>0.87</v>
      </c>
    </row>
    <row r="4" spans="1:6" ht="15" customHeight="1" x14ac:dyDescent="0.2">
      <c r="A4" s="11">
        <v>4</v>
      </c>
      <c r="B4" s="12" t="s">
        <v>110</v>
      </c>
      <c r="C4" s="12" t="s">
        <v>111</v>
      </c>
      <c r="D4" s="13">
        <v>1.8</v>
      </c>
      <c r="E4" s="99">
        <f t="shared" si="0"/>
        <v>0.55555555555555558</v>
      </c>
      <c r="F4" s="100">
        <v>0.78</v>
      </c>
    </row>
    <row r="5" spans="1:6" ht="15" customHeight="1" x14ac:dyDescent="0.2">
      <c r="A5" s="14">
        <v>5</v>
      </c>
      <c r="B5" s="12" t="s">
        <v>112</v>
      </c>
      <c r="C5" s="12" t="s">
        <v>113</v>
      </c>
      <c r="D5" s="13">
        <v>1.05</v>
      </c>
      <c r="E5" s="99">
        <f t="shared" si="0"/>
        <v>0.95238095238095233</v>
      </c>
      <c r="F5" s="100">
        <v>0.98</v>
      </c>
    </row>
    <row r="6" spans="1:6" ht="15" customHeight="1" x14ac:dyDescent="0.2">
      <c r="A6" s="14">
        <v>6</v>
      </c>
      <c r="B6" s="12" t="s">
        <v>114</v>
      </c>
      <c r="C6" s="12" t="s">
        <v>115</v>
      </c>
      <c r="D6" s="13">
        <v>1.1000000000000001</v>
      </c>
      <c r="E6" s="99">
        <f t="shared" si="0"/>
        <v>0.90909090909090906</v>
      </c>
      <c r="F6" s="100">
        <v>0.98</v>
      </c>
    </row>
    <row r="7" spans="1:6" ht="15" customHeight="1" x14ac:dyDescent="0.2">
      <c r="A7" s="14">
        <v>10</v>
      </c>
      <c r="B7" s="12" t="s">
        <v>116</v>
      </c>
      <c r="C7" s="12" t="s">
        <v>117</v>
      </c>
      <c r="D7" s="13">
        <v>1.23</v>
      </c>
      <c r="E7" s="99">
        <f t="shared" si="0"/>
        <v>0.81300813008130079</v>
      </c>
      <c r="F7" s="100">
        <v>0.87</v>
      </c>
    </row>
    <row r="8" spans="1:6" ht="15" customHeight="1" x14ac:dyDescent="0.2">
      <c r="A8" s="11">
        <v>11</v>
      </c>
      <c r="B8" s="12" t="s">
        <v>118</v>
      </c>
      <c r="C8" s="12" t="s">
        <v>119</v>
      </c>
      <c r="D8" s="13">
        <v>1.42</v>
      </c>
      <c r="E8" s="99">
        <f t="shared" si="0"/>
        <v>0.70422535211267612</v>
      </c>
      <c r="F8" s="100">
        <v>0.68</v>
      </c>
    </row>
    <row r="9" spans="1:6" ht="15" customHeight="1" x14ac:dyDescent="0.2">
      <c r="A9" s="11">
        <v>12</v>
      </c>
      <c r="B9" s="12" t="s">
        <v>120</v>
      </c>
      <c r="C9" s="12" t="s">
        <v>121</v>
      </c>
      <c r="D9" s="13">
        <v>1.34</v>
      </c>
      <c r="E9" s="99">
        <f t="shared" si="0"/>
        <v>0.74626865671641784</v>
      </c>
      <c r="F9" s="100">
        <v>0.82</v>
      </c>
    </row>
    <row r="10" spans="1:6" ht="15" customHeight="1" x14ac:dyDescent="0.2">
      <c r="A10" s="14">
        <v>13</v>
      </c>
      <c r="B10" s="12" t="s">
        <v>122</v>
      </c>
      <c r="C10" s="12" t="s">
        <v>123</v>
      </c>
      <c r="D10" s="13">
        <v>1.28</v>
      </c>
      <c r="E10" s="99">
        <f t="shared" si="0"/>
        <v>0.78125</v>
      </c>
      <c r="F10" s="100">
        <v>0.85</v>
      </c>
    </row>
    <row r="11" spans="1:6" ht="15" customHeight="1" x14ac:dyDescent="0.2">
      <c r="A11" s="11">
        <v>14</v>
      </c>
      <c r="B11" s="12" t="s">
        <v>124</v>
      </c>
      <c r="C11" s="12" t="s">
        <v>125</v>
      </c>
      <c r="D11" s="13">
        <v>1.29</v>
      </c>
      <c r="E11" s="99">
        <f t="shared" si="0"/>
        <v>0.77519379844961234</v>
      </c>
      <c r="F11" s="100">
        <v>0.8</v>
      </c>
    </row>
    <row r="12" spans="1:6" ht="15" customHeight="1" x14ac:dyDescent="0.2">
      <c r="A12" s="11">
        <v>16</v>
      </c>
      <c r="B12" s="12" t="s">
        <v>126</v>
      </c>
      <c r="C12" s="12" t="s">
        <v>127</v>
      </c>
      <c r="D12" s="13">
        <v>1.27</v>
      </c>
      <c r="E12" s="99">
        <f t="shared" si="0"/>
        <v>0.78740157480314954</v>
      </c>
      <c r="F12" s="100">
        <v>0.88</v>
      </c>
    </row>
    <row r="13" spans="1:6" ht="15" customHeight="1" x14ac:dyDescent="0.2">
      <c r="A13" s="11">
        <v>17</v>
      </c>
      <c r="B13" s="12" t="s">
        <v>128</v>
      </c>
      <c r="C13" s="12" t="s">
        <v>129</v>
      </c>
      <c r="D13" s="13">
        <v>1.17</v>
      </c>
      <c r="E13" s="99">
        <f t="shared" si="0"/>
        <v>0.85470085470085477</v>
      </c>
      <c r="F13" s="100">
        <v>0.76</v>
      </c>
    </row>
    <row r="14" spans="1:6" ht="15" customHeight="1" x14ac:dyDescent="0.2">
      <c r="A14" s="14">
        <v>20</v>
      </c>
      <c r="B14" s="12" t="s">
        <v>130</v>
      </c>
      <c r="C14" s="12" t="s">
        <v>131</v>
      </c>
      <c r="D14" s="13">
        <v>1.06</v>
      </c>
      <c r="E14" s="99">
        <f t="shared" si="0"/>
        <v>0.94339622641509424</v>
      </c>
      <c r="F14" s="100">
        <v>0.99</v>
      </c>
    </row>
    <row r="15" spans="1:6" ht="15" customHeight="1" x14ac:dyDescent="0.2">
      <c r="A15" s="14">
        <v>21</v>
      </c>
      <c r="B15" s="12" t="s">
        <v>132</v>
      </c>
      <c r="C15" s="12" t="s">
        <v>133</v>
      </c>
      <c r="D15" s="13">
        <v>1.27</v>
      </c>
      <c r="E15" s="99">
        <f t="shared" si="0"/>
        <v>0.78740157480314954</v>
      </c>
      <c r="F15" s="100">
        <v>0.95</v>
      </c>
    </row>
    <row r="16" spans="1:6" ht="15" customHeight="1" x14ac:dyDescent="0.2">
      <c r="A16" s="14">
        <v>28</v>
      </c>
      <c r="B16" s="12" t="s">
        <v>134</v>
      </c>
      <c r="C16" s="12" t="s">
        <v>135</v>
      </c>
      <c r="D16" s="13">
        <v>1.1200000000000001</v>
      </c>
      <c r="E16" s="99">
        <f t="shared" si="0"/>
        <v>0.89285714285714279</v>
      </c>
      <c r="F16" s="100">
        <v>0.96</v>
      </c>
    </row>
    <row r="17" spans="1:6" ht="15" customHeight="1" x14ac:dyDescent="0.2">
      <c r="A17" s="14">
        <v>30</v>
      </c>
      <c r="B17" s="12" t="s">
        <v>122</v>
      </c>
      <c r="C17" s="12" t="s">
        <v>136</v>
      </c>
      <c r="D17" s="13">
        <v>1.27</v>
      </c>
      <c r="E17" s="99">
        <f t="shared" si="0"/>
        <v>0.78740157480314954</v>
      </c>
      <c r="F17" s="100">
        <v>0.95</v>
      </c>
    </row>
    <row r="18" spans="1:6" ht="15" customHeight="1" x14ac:dyDescent="0.2">
      <c r="A18" s="14">
        <v>34</v>
      </c>
      <c r="B18" s="12" t="s">
        <v>130</v>
      </c>
      <c r="C18" s="12" t="s">
        <v>137</v>
      </c>
      <c r="D18" s="13">
        <v>1.4</v>
      </c>
      <c r="E18" s="99">
        <f t="shared" si="0"/>
        <v>0.7142857142857143</v>
      </c>
      <c r="F18" s="100">
        <v>0.92</v>
      </c>
    </row>
    <row r="19" spans="1:6" ht="15" customHeight="1" x14ac:dyDescent="0.2">
      <c r="A19" s="14">
        <v>35</v>
      </c>
      <c r="B19" s="12" t="s">
        <v>138</v>
      </c>
      <c r="C19" s="12" t="s">
        <v>139</v>
      </c>
      <c r="D19" s="13">
        <v>1.26</v>
      </c>
      <c r="E19" s="99">
        <f t="shared" si="0"/>
        <v>0.79365079365079361</v>
      </c>
      <c r="F19" s="100">
        <v>0.93</v>
      </c>
    </row>
    <row r="20" spans="1:6" ht="15" customHeight="1" x14ac:dyDescent="0.2">
      <c r="A20" s="14">
        <v>39</v>
      </c>
      <c r="B20" s="12" t="s">
        <v>140</v>
      </c>
      <c r="C20" s="12" t="s">
        <v>141</v>
      </c>
      <c r="D20" s="13">
        <v>1.3</v>
      </c>
      <c r="E20" s="99">
        <f t="shared" si="0"/>
        <v>0.76923076923076916</v>
      </c>
      <c r="F20" s="100">
        <v>0.86</v>
      </c>
    </row>
    <row r="21" spans="1:6" ht="15" customHeight="1" x14ac:dyDescent="0.2">
      <c r="A21" s="14">
        <v>40</v>
      </c>
      <c r="B21" s="12" t="s">
        <v>142</v>
      </c>
      <c r="C21" s="12" t="s">
        <v>143</v>
      </c>
      <c r="D21" s="13">
        <v>1.2</v>
      </c>
      <c r="E21" s="99">
        <f t="shared" si="0"/>
        <v>0.83333333333333337</v>
      </c>
      <c r="F21" s="100">
        <v>0.95</v>
      </c>
    </row>
    <row r="22" spans="1:6" ht="15" customHeight="1" x14ac:dyDescent="0.2">
      <c r="A22" s="14">
        <v>41</v>
      </c>
      <c r="B22" s="12" t="s">
        <v>118</v>
      </c>
      <c r="C22" s="12" t="s">
        <v>144</v>
      </c>
      <c r="D22" s="13">
        <v>1.2</v>
      </c>
      <c r="E22" s="99">
        <f t="shared" si="0"/>
        <v>0.83333333333333337</v>
      </c>
      <c r="F22" s="100">
        <v>0.91</v>
      </c>
    </row>
    <row r="23" spans="1:6" ht="15" customHeight="1" x14ac:dyDescent="0.2">
      <c r="C23" s="15" t="s">
        <v>145</v>
      </c>
      <c r="D23" s="16">
        <f>ROUND(PRODUCT(D3:D22),2)</f>
        <v>95.11</v>
      </c>
      <c r="E23" s="101">
        <f>PRODUCT(E3:E22)</f>
        <v>1.0513605902587365E-2</v>
      </c>
      <c r="F23" s="101">
        <f>PRODUCT(F3:F22)</f>
        <v>7.8451466175711443E-2</v>
      </c>
    </row>
    <row r="24" spans="1:6" ht="15" customHeight="1" x14ac:dyDescent="0.2">
      <c r="C24" s="15" t="s">
        <v>146</v>
      </c>
      <c r="D24" s="17">
        <f>D23*20</f>
        <v>1902.2</v>
      </c>
    </row>
    <row r="26" spans="1:6" ht="15" customHeight="1" x14ac:dyDescent="0.2">
      <c r="A26" s="162" t="s">
        <v>147</v>
      </c>
      <c r="B26" s="143"/>
      <c r="C26" s="143"/>
      <c r="D26" s="143"/>
      <c r="E26" s="143"/>
      <c r="F26" s="143"/>
    </row>
    <row r="27" spans="1:6" ht="15" customHeight="1" x14ac:dyDescent="0.2">
      <c r="A27" s="10" t="s">
        <v>102</v>
      </c>
      <c r="B27" s="10" t="s">
        <v>103</v>
      </c>
      <c r="C27" s="10" t="s">
        <v>104</v>
      </c>
      <c r="D27" s="10" t="s">
        <v>105</v>
      </c>
      <c r="E27" s="10" t="s">
        <v>106</v>
      </c>
      <c r="F27" s="10" t="s">
        <v>107</v>
      </c>
    </row>
    <row r="28" spans="1:6" ht="15" customHeight="1" x14ac:dyDescent="0.2">
      <c r="A28" s="11">
        <v>1</v>
      </c>
      <c r="B28" s="12" t="s">
        <v>148</v>
      </c>
      <c r="C28" s="12" t="s">
        <v>149</v>
      </c>
      <c r="D28" s="13">
        <v>1.45</v>
      </c>
      <c r="E28" s="99">
        <f t="shared" ref="E28:E47" si="1">1/D28</f>
        <v>0.68965517241379315</v>
      </c>
      <c r="F28" s="100">
        <v>0.75</v>
      </c>
    </row>
    <row r="29" spans="1:6" ht="15" customHeight="1" x14ac:dyDescent="0.2">
      <c r="A29" s="11">
        <v>2</v>
      </c>
      <c r="B29" s="12" t="s">
        <v>108</v>
      </c>
      <c r="C29" s="12" t="s">
        <v>109</v>
      </c>
      <c r="D29" s="13">
        <v>1.26</v>
      </c>
      <c r="E29" s="99">
        <f t="shared" si="1"/>
        <v>0.79365079365079361</v>
      </c>
      <c r="F29" s="100">
        <v>0.87</v>
      </c>
    </row>
    <row r="30" spans="1:6" ht="15" customHeight="1" x14ac:dyDescent="0.2">
      <c r="A30" s="11">
        <v>4</v>
      </c>
      <c r="B30" s="12" t="s">
        <v>110</v>
      </c>
      <c r="C30" s="12" t="s">
        <v>111</v>
      </c>
      <c r="D30" s="13">
        <v>1.8</v>
      </c>
      <c r="E30" s="99">
        <f t="shared" si="1"/>
        <v>0.55555555555555558</v>
      </c>
      <c r="F30" s="100">
        <v>0.78</v>
      </c>
    </row>
    <row r="31" spans="1:6" ht="15" customHeight="1" x14ac:dyDescent="0.2">
      <c r="A31" s="14">
        <v>5</v>
      </c>
      <c r="B31" s="12" t="s">
        <v>112</v>
      </c>
      <c r="C31" s="12" t="s">
        <v>113</v>
      </c>
      <c r="D31" s="13">
        <v>1.05</v>
      </c>
      <c r="E31" s="99">
        <f t="shared" si="1"/>
        <v>0.95238095238095233</v>
      </c>
      <c r="F31" s="100">
        <v>0.98</v>
      </c>
    </row>
    <row r="32" spans="1:6" ht="15" customHeight="1" x14ac:dyDescent="0.2">
      <c r="A32" s="14">
        <v>6</v>
      </c>
      <c r="B32" s="12" t="s">
        <v>114</v>
      </c>
      <c r="C32" s="12" t="s">
        <v>115</v>
      </c>
      <c r="D32" s="13">
        <v>1.1000000000000001</v>
      </c>
      <c r="E32" s="99">
        <f t="shared" si="1"/>
        <v>0.90909090909090906</v>
      </c>
      <c r="F32" s="100">
        <v>0.98</v>
      </c>
    </row>
    <row r="33" spans="1:6" ht="15" customHeight="1" x14ac:dyDescent="0.2">
      <c r="A33" s="14">
        <v>10</v>
      </c>
      <c r="B33" s="12" t="s">
        <v>116</v>
      </c>
      <c r="C33" s="12" t="s">
        <v>117</v>
      </c>
      <c r="D33" s="13">
        <v>1.23</v>
      </c>
      <c r="E33" s="99">
        <f t="shared" si="1"/>
        <v>0.81300813008130079</v>
      </c>
      <c r="F33" s="100">
        <v>0.87</v>
      </c>
    </row>
    <row r="34" spans="1:6" ht="15" customHeight="1" x14ac:dyDescent="0.2">
      <c r="A34" s="11">
        <v>11</v>
      </c>
      <c r="B34" s="12" t="s">
        <v>118</v>
      </c>
      <c r="C34" s="12" t="s">
        <v>119</v>
      </c>
      <c r="D34" s="13">
        <v>1.42</v>
      </c>
      <c r="E34" s="99">
        <f t="shared" si="1"/>
        <v>0.70422535211267612</v>
      </c>
      <c r="F34" s="100">
        <v>0.68</v>
      </c>
    </row>
    <row r="35" spans="1:6" ht="15" customHeight="1" x14ac:dyDescent="0.2">
      <c r="A35" s="14">
        <v>13</v>
      </c>
      <c r="B35" s="12" t="s">
        <v>122</v>
      </c>
      <c r="C35" s="12" t="s">
        <v>123</v>
      </c>
      <c r="D35" s="13">
        <v>1.28</v>
      </c>
      <c r="E35" s="99">
        <f t="shared" si="1"/>
        <v>0.78125</v>
      </c>
      <c r="F35" s="100">
        <v>0.85</v>
      </c>
    </row>
    <row r="36" spans="1:6" ht="15" customHeight="1" x14ac:dyDescent="0.2">
      <c r="A36" s="11">
        <v>15</v>
      </c>
      <c r="B36" s="12" t="s">
        <v>150</v>
      </c>
      <c r="C36" s="12" t="s">
        <v>151</v>
      </c>
      <c r="D36" s="13">
        <v>1.42</v>
      </c>
      <c r="E36" s="99">
        <f t="shared" si="1"/>
        <v>0.70422535211267612</v>
      </c>
      <c r="F36" s="100">
        <v>0.92</v>
      </c>
    </row>
    <row r="37" spans="1:6" ht="15" customHeight="1" x14ac:dyDescent="0.2">
      <c r="A37" s="11">
        <v>16</v>
      </c>
      <c r="B37" s="12" t="s">
        <v>126</v>
      </c>
      <c r="C37" s="12" t="s">
        <v>127</v>
      </c>
      <c r="D37" s="13">
        <v>1.27</v>
      </c>
      <c r="E37" s="99">
        <f t="shared" si="1"/>
        <v>0.78740157480314954</v>
      </c>
      <c r="F37" s="100">
        <v>0.88</v>
      </c>
    </row>
    <row r="38" spans="1:6" ht="15" customHeight="1" x14ac:dyDescent="0.2">
      <c r="A38" s="11">
        <v>19</v>
      </c>
      <c r="B38" s="12" t="s">
        <v>138</v>
      </c>
      <c r="C38" s="12" t="s">
        <v>152</v>
      </c>
      <c r="D38" s="13">
        <v>2.0499999999999998</v>
      </c>
      <c r="E38" s="99">
        <f t="shared" si="1"/>
        <v>0.48780487804878053</v>
      </c>
      <c r="F38" s="100">
        <v>0.82</v>
      </c>
    </row>
    <row r="39" spans="1:6" ht="15" customHeight="1" x14ac:dyDescent="0.2">
      <c r="A39" s="14">
        <v>20</v>
      </c>
      <c r="B39" s="12" t="s">
        <v>130</v>
      </c>
      <c r="C39" s="12" t="s">
        <v>131</v>
      </c>
      <c r="D39" s="13">
        <v>1.06</v>
      </c>
      <c r="E39" s="99">
        <f t="shared" si="1"/>
        <v>0.94339622641509424</v>
      </c>
      <c r="F39" s="100">
        <v>0.99</v>
      </c>
    </row>
    <row r="40" spans="1:6" ht="15" customHeight="1" x14ac:dyDescent="0.2">
      <c r="A40" s="14">
        <v>21</v>
      </c>
      <c r="B40" s="12" t="s">
        <v>132</v>
      </c>
      <c r="C40" s="12" t="s">
        <v>133</v>
      </c>
      <c r="D40" s="13">
        <v>1.27</v>
      </c>
      <c r="E40" s="99">
        <f t="shared" si="1"/>
        <v>0.78740157480314954</v>
      </c>
      <c r="F40" s="100">
        <v>0.95</v>
      </c>
    </row>
    <row r="41" spans="1:6" ht="15" customHeight="1" x14ac:dyDescent="0.2">
      <c r="A41" s="14">
        <v>28</v>
      </c>
      <c r="B41" s="12" t="s">
        <v>134</v>
      </c>
      <c r="C41" s="12" t="s">
        <v>135</v>
      </c>
      <c r="D41" s="13">
        <v>1.1200000000000001</v>
      </c>
      <c r="E41" s="99">
        <f t="shared" si="1"/>
        <v>0.89285714285714279</v>
      </c>
      <c r="F41" s="100">
        <v>0.96</v>
      </c>
    </row>
    <row r="42" spans="1:6" ht="15" customHeight="1" x14ac:dyDescent="0.2">
      <c r="A42" s="14">
        <v>30</v>
      </c>
      <c r="B42" s="12" t="s">
        <v>122</v>
      </c>
      <c r="C42" s="12" t="s">
        <v>136</v>
      </c>
      <c r="D42" s="13">
        <v>1.27</v>
      </c>
      <c r="E42" s="99">
        <f t="shared" si="1"/>
        <v>0.78740157480314954</v>
      </c>
      <c r="F42" s="100">
        <v>0.95</v>
      </c>
    </row>
    <row r="43" spans="1:6" ht="15" customHeight="1" x14ac:dyDescent="0.2">
      <c r="A43" s="14">
        <v>34</v>
      </c>
      <c r="B43" s="12" t="s">
        <v>130</v>
      </c>
      <c r="C43" s="12" t="s">
        <v>137</v>
      </c>
      <c r="D43" s="13">
        <v>1.4</v>
      </c>
      <c r="E43" s="99">
        <f t="shared" si="1"/>
        <v>0.7142857142857143</v>
      </c>
      <c r="F43" s="100">
        <v>0.92</v>
      </c>
    </row>
    <row r="44" spans="1:6" ht="15" customHeight="1" x14ac:dyDescent="0.2">
      <c r="A44" s="14">
        <v>35</v>
      </c>
      <c r="B44" s="12" t="s">
        <v>138</v>
      </c>
      <c r="C44" s="12" t="s">
        <v>139</v>
      </c>
      <c r="D44" s="13">
        <v>1.26</v>
      </c>
      <c r="E44" s="99">
        <f t="shared" si="1"/>
        <v>0.79365079365079361</v>
      </c>
      <c r="F44" s="100">
        <v>0.93</v>
      </c>
    </row>
    <row r="45" spans="1:6" ht="15" customHeight="1" x14ac:dyDescent="0.2">
      <c r="A45" s="14">
        <v>39</v>
      </c>
      <c r="B45" s="12" t="s">
        <v>140</v>
      </c>
      <c r="C45" s="12" t="s">
        <v>141</v>
      </c>
      <c r="D45" s="13">
        <v>1.3</v>
      </c>
      <c r="E45" s="99">
        <f t="shared" si="1"/>
        <v>0.76923076923076916</v>
      </c>
      <c r="F45" s="100">
        <v>0.86</v>
      </c>
    </row>
    <row r="46" spans="1:6" ht="15" customHeight="1" x14ac:dyDescent="0.2">
      <c r="A46" s="14">
        <v>40</v>
      </c>
      <c r="B46" s="12" t="s">
        <v>142</v>
      </c>
      <c r="C46" s="12" t="s">
        <v>143</v>
      </c>
      <c r="D46" s="13">
        <v>1.2</v>
      </c>
      <c r="E46" s="99">
        <f t="shared" si="1"/>
        <v>0.83333333333333337</v>
      </c>
      <c r="F46" s="100">
        <v>0.95</v>
      </c>
    </row>
    <row r="47" spans="1:6" ht="15" customHeight="1" x14ac:dyDescent="0.2">
      <c r="A47" s="14">
        <v>41</v>
      </c>
      <c r="B47" s="12" t="s">
        <v>118</v>
      </c>
      <c r="C47" s="12" t="s">
        <v>144</v>
      </c>
      <c r="D47" s="13">
        <v>1.2</v>
      </c>
      <c r="E47" s="99">
        <f t="shared" si="1"/>
        <v>0.83333333333333337</v>
      </c>
      <c r="F47" s="100">
        <v>0.91</v>
      </c>
    </row>
    <row r="48" spans="1:6" ht="15" customHeight="1" x14ac:dyDescent="0.2">
      <c r="C48" s="15" t="s">
        <v>145</v>
      </c>
      <c r="D48" s="16">
        <f>ROUND(PRODUCT(D28:D47),2)</f>
        <v>198.51</v>
      </c>
      <c r="E48" s="101">
        <f>PRODUCT(E28:E47)</f>
        <v>5.0375788438523691E-3</v>
      </c>
      <c r="F48" s="101">
        <f>PRODUCT(F28:F47)</f>
        <v>8.903209154809362E-2</v>
      </c>
    </row>
    <row r="49" spans="1:6" ht="15" customHeight="1" x14ac:dyDescent="0.2">
      <c r="C49" s="15" t="s">
        <v>146</v>
      </c>
      <c r="D49" s="17">
        <f>D48*20</f>
        <v>3970.2</v>
      </c>
    </row>
    <row r="51" spans="1:6" ht="15" customHeight="1" x14ac:dyDescent="0.2">
      <c r="A51" s="162" t="s">
        <v>153</v>
      </c>
      <c r="B51" s="143"/>
      <c r="C51" s="143"/>
      <c r="D51" s="143"/>
      <c r="E51" s="143"/>
      <c r="F51" s="143"/>
    </row>
    <row r="52" spans="1:6" ht="15" customHeight="1" x14ac:dyDescent="0.2">
      <c r="A52" s="10" t="s">
        <v>102</v>
      </c>
      <c r="B52" s="10" t="s">
        <v>103</v>
      </c>
      <c r="C52" s="10" t="s">
        <v>104</v>
      </c>
      <c r="D52" s="10" t="s">
        <v>105</v>
      </c>
      <c r="E52" s="10" t="s">
        <v>106</v>
      </c>
      <c r="F52" s="10" t="s">
        <v>107</v>
      </c>
    </row>
    <row r="53" spans="1:6" ht="15" customHeight="1" x14ac:dyDescent="0.2">
      <c r="A53" s="14">
        <v>5</v>
      </c>
      <c r="B53" s="12" t="s">
        <v>112</v>
      </c>
      <c r="C53" s="12" t="s">
        <v>113</v>
      </c>
      <c r="D53" s="13">
        <v>1.05</v>
      </c>
      <c r="E53" s="99">
        <f t="shared" ref="E53:E72" si="2">1/D53</f>
        <v>0.95238095238095233</v>
      </c>
      <c r="F53" s="100">
        <v>0.98</v>
      </c>
    </row>
    <row r="54" spans="1:6" ht="15" customHeight="1" x14ac:dyDescent="0.2">
      <c r="A54" s="14">
        <v>6</v>
      </c>
      <c r="B54" s="12" t="s">
        <v>114</v>
      </c>
      <c r="C54" s="12" t="s">
        <v>115</v>
      </c>
      <c r="D54" s="13">
        <v>1.1000000000000001</v>
      </c>
      <c r="E54" s="99">
        <f t="shared" si="2"/>
        <v>0.90909090909090906</v>
      </c>
      <c r="F54" s="100">
        <v>0.98</v>
      </c>
    </row>
    <row r="55" spans="1:6" ht="15" customHeight="1" x14ac:dyDescent="0.2">
      <c r="A55" s="14">
        <v>10</v>
      </c>
      <c r="B55" s="12" t="s">
        <v>116</v>
      </c>
      <c r="C55" s="12" t="s">
        <v>117</v>
      </c>
      <c r="D55" s="13">
        <v>1.23</v>
      </c>
      <c r="E55" s="99">
        <f t="shared" si="2"/>
        <v>0.81300813008130079</v>
      </c>
      <c r="F55" s="100">
        <v>0.87</v>
      </c>
    </row>
    <row r="56" spans="1:6" ht="15" customHeight="1" x14ac:dyDescent="0.2">
      <c r="A56" s="11">
        <v>12</v>
      </c>
      <c r="B56" s="12" t="s">
        <v>120</v>
      </c>
      <c r="C56" s="12" t="s">
        <v>121</v>
      </c>
      <c r="D56" s="13">
        <v>1.34</v>
      </c>
      <c r="E56" s="99">
        <f t="shared" si="2"/>
        <v>0.74626865671641784</v>
      </c>
      <c r="F56" s="100">
        <v>0.82</v>
      </c>
    </row>
    <row r="57" spans="1:6" ht="15" customHeight="1" x14ac:dyDescent="0.2">
      <c r="A57" s="14">
        <v>13</v>
      </c>
      <c r="B57" s="12" t="s">
        <v>122</v>
      </c>
      <c r="C57" s="12" t="s">
        <v>123</v>
      </c>
      <c r="D57" s="13">
        <v>1.28</v>
      </c>
      <c r="E57" s="99">
        <f t="shared" si="2"/>
        <v>0.78125</v>
      </c>
      <c r="F57" s="100">
        <v>0.85</v>
      </c>
    </row>
    <row r="58" spans="1:6" ht="15" customHeight="1" x14ac:dyDescent="0.2">
      <c r="A58" s="11">
        <v>14</v>
      </c>
      <c r="B58" s="12" t="s">
        <v>124</v>
      </c>
      <c r="C58" s="12" t="s">
        <v>125</v>
      </c>
      <c r="D58" s="13">
        <v>1.29</v>
      </c>
      <c r="E58" s="99">
        <f t="shared" si="2"/>
        <v>0.77519379844961234</v>
      </c>
      <c r="F58" s="100">
        <v>0.8</v>
      </c>
    </row>
    <row r="59" spans="1:6" ht="15" customHeight="1" x14ac:dyDescent="0.2">
      <c r="A59" s="11">
        <v>19</v>
      </c>
      <c r="B59" s="12" t="s">
        <v>138</v>
      </c>
      <c r="C59" s="12" t="s">
        <v>152</v>
      </c>
      <c r="D59" s="13">
        <v>2.0499999999999998</v>
      </c>
      <c r="E59" s="99">
        <f t="shared" si="2"/>
        <v>0.48780487804878053</v>
      </c>
      <c r="F59" s="100">
        <v>0.82</v>
      </c>
    </row>
    <row r="60" spans="1:6" ht="15" customHeight="1" x14ac:dyDescent="0.2">
      <c r="A60" s="14">
        <v>20</v>
      </c>
      <c r="B60" s="12" t="s">
        <v>130</v>
      </c>
      <c r="C60" s="12" t="s">
        <v>131</v>
      </c>
      <c r="D60" s="13">
        <v>1.06</v>
      </c>
      <c r="E60" s="99">
        <f t="shared" si="2"/>
        <v>0.94339622641509424</v>
      </c>
      <c r="F60" s="100">
        <v>0.99</v>
      </c>
    </row>
    <row r="61" spans="1:6" ht="15" customHeight="1" x14ac:dyDescent="0.2">
      <c r="A61" s="14">
        <v>21</v>
      </c>
      <c r="B61" s="12" t="s">
        <v>132</v>
      </c>
      <c r="C61" s="12" t="s">
        <v>133</v>
      </c>
      <c r="D61" s="13">
        <v>1.27</v>
      </c>
      <c r="E61" s="99">
        <f t="shared" si="2"/>
        <v>0.78740157480314954</v>
      </c>
      <c r="F61" s="100">
        <v>0.95</v>
      </c>
    </row>
    <row r="62" spans="1:6" ht="15" customHeight="1" x14ac:dyDescent="0.2">
      <c r="A62" s="11">
        <v>23</v>
      </c>
      <c r="B62" s="12" t="s">
        <v>114</v>
      </c>
      <c r="C62" s="12" t="s">
        <v>154</v>
      </c>
      <c r="D62" s="13">
        <v>1.1299999999999999</v>
      </c>
      <c r="E62" s="99">
        <f t="shared" si="2"/>
        <v>0.88495575221238942</v>
      </c>
      <c r="F62" s="100">
        <v>0.88500000000000001</v>
      </c>
    </row>
    <row r="63" spans="1:6" ht="15" customHeight="1" x14ac:dyDescent="0.2">
      <c r="A63" s="11">
        <v>26</v>
      </c>
      <c r="B63" s="12" t="s">
        <v>155</v>
      </c>
      <c r="C63" s="12" t="s">
        <v>156</v>
      </c>
      <c r="D63" s="13">
        <v>1.19</v>
      </c>
      <c r="E63" s="99">
        <f t="shared" si="2"/>
        <v>0.84033613445378152</v>
      </c>
      <c r="F63" s="100">
        <v>0.87</v>
      </c>
    </row>
    <row r="64" spans="1:6" ht="15" customHeight="1" x14ac:dyDescent="0.2">
      <c r="A64" s="14">
        <v>28</v>
      </c>
      <c r="B64" s="12" t="s">
        <v>134</v>
      </c>
      <c r="C64" s="12" t="s">
        <v>135</v>
      </c>
      <c r="D64" s="13">
        <v>1.1200000000000001</v>
      </c>
      <c r="E64" s="99">
        <f t="shared" si="2"/>
        <v>0.89285714285714279</v>
      </c>
      <c r="F64" s="100">
        <v>0.96</v>
      </c>
    </row>
    <row r="65" spans="1:6" ht="15" customHeight="1" x14ac:dyDescent="0.2">
      <c r="A65" s="14">
        <v>30</v>
      </c>
      <c r="B65" s="12" t="s">
        <v>122</v>
      </c>
      <c r="C65" s="12" t="s">
        <v>136</v>
      </c>
      <c r="D65" s="13">
        <v>1.27</v>
      </c>
      <c r="E65" s="99">
        <f t="shared" si="2"/>
        <v>0.78740157480314954</v>
      </c>
      <c r="F65" s="100">
        <v>0.95</v>
      </c>
    </row>
    <row r="66" spans="1:6" ht="15" customHeight="1" x14ac:dyDescent="0.2">
      <c r="A66" s="11">
        <v>31</v>
      </c>
      <c r="B66" s="12" t="s">
        <v>142</v>
      </c>
      <c r="C66" s="12" t="s">
        <v>157</v>
      </c>
      <c r="D66" s="13">
        <v>1.32</v>
      </c>
      <c r="E66" s="99">
        <f t="shared" si="2"/>
        <v>0.75757575757575757</v>
      </c>
      <c r="F66" s="100">
        <v>0.82</v>
      </c>
    </row>
    <row r="67" spans="1:6" ht="15" customHeight="1" x14ac:dyDescent="0.2">
      <c r="A67" s="11">
        <v>32</v>
      </c>
      <c r="B67" s="12" t="s">
        <v>158</v>
      </c>
      <c r="C67" s="12" t="s">
        <v>159</v>
      </c>
      <c r="D67" s="13">
        <v>1.5</v>
      </c>
      <c r="E67" s="99">
        <f t="shared" si="2"/>
        <v>0.66666666666666663</v>
      </c>
      <c r="F67" s="100">
        <v>0.84</v>
      </c>
    </row>
    <row r="68" spans="1:6" ht="15" customHeight="1" x14ac:dyDescent="0.2">
      <c r="A68" s="14">
        <v>34</v>
      </c>
      <c r="B68" s="12" t="s">
        <v>130</v>
      </c>
      <c r="C68" s="12" t="s">
        <v>137</v>
      </c>
      <c r="D68" s="13">
        <v>1.4</v>
      </c>
      <c r="E68" s="99">
        <f t="shared" si="2"/>
        <v>0.7142857142857143</v>
      </c>
      <c r="F68" s="100">
        <v>0.92</v>
      </c>
    </row>
    <row r="69" spans="1:6" ht="15" customHeight="1" x14ac:dyDescent="0.2">
      <c r="A69" s="14">
        <v>35</v>
      </c>
      <c r="B69" s="12" t="s">
        <v>138</v>
      </c>
      <c r="C69" s="12" t="s">
        <v>139</v>
      </c>
      <c r="D69" s="13">
        <v>1.26</v>
      </c>
      <c r="E69" s="99">
        <f t="shared" si="2"/>
        <v>0.79365079365079361</v>
      </c>
      <c r="F69" s="100">
        <v>0.93</v>
      </c>
    </row>
    <row r="70" spans="1:6" ht="15" customHeight="1" x14ac:dyDescent="0.2">
      <c r="A70" s="14">
        <v>39</v>
      </c>
      <c r="B70" s="12" t="s">
        <v>140</v>
      </c>
      <c r="C70" s="12" t="s">
        <v>141</v>
      </c>
      <c r="D70" s="13">
        <v>1.3</v>
      </c>
      <c r="E70" s="99">
        <f t="shared" si="2"/>
        <v>0.76923076923076916</v>
      </c>
      <c r="F70" s="100">
        <v>0.86</v>
      </c>
    </row>
    <row r="71" spans="1:6" ht="15" customHeight="1" x14ac:dyDescent="0.2">
      <c r="A71" s="14">
        <v>40</v>
      </c>
      <c r="B71" s="12" t="s">
        <v>142</v>
      </c>
      <c r="C71" s="12" t="s">
        <v>143</v>
      </c>
      <c r="D71" s="13">
        <v>1.2</v>
      </c>
      <c r="E71" s="99">
        <f t="shared" si="2"/>
        <v>0.83333333333333337</v>
      </c>
      <c r="F71" s="100">
        <v>0.95</v>
      </c>
    </row>
    <row r="72" spans="1:6" ht="15" customHeight="1" x14ac:dyDescent="0.2">
      <c r="A72" s="14">
        <v>41</v>
      </c>
      <c r="B72" s="12" t="s">
        <v>118</v>
      </c>
      <c r="C72" s="12" t="s">
        <v>144</v>
      </c>
      <c r="D72" s="13">
        <v>1.2</v>
      </c>
      <c r="E72" s="99">
        <f t="shared" si="2"/>
        <v>0.83333333333333337</v>
      </c>
      <c r="F72" s="100">
        <v>0.91</v>
      </c>
    </row>
    <row r="73" spans="1:6" ht="15" customHeight="1" x14ac:dyDescent="0.2">
      <c r="C73" s="15" t="s">
        <v>145</v>
      </c>
      <c r="D73" s="16">
        <f>ROUND(PRODUCT(D53:D72),2)</f>
        <v>108.49</v>
      </c>
      <c r="E73" s="101">
        <f>PRODUCT(E53:E72)</f>
        <v>9.217819820661834E-3</v>
      </c>
      <c r="F73" s="101">
        <f>PRODUCT(F53:F72)</f>
        <v>0.11054816706944473</v>
      </c>
    </row>
    <row r="74" spans="1:6" ht="15" customHeight="1" x14ac:dyDescent="0.2">
      <c r="C74" s="15" t="s">
        <v>146</v>
      </c>
      <c r="D74" s="17">
        <f>D73*20</f>
        <v>2169.7999999999997</v>
      </c>
    </row>
    <row r="76" spans="1:6" ht="15" customHeight="1" x14ac:dyDescent="0.2">
      <c r="A76" s="162" t="s">
        <v>160</v>
      </c>
      <c r="B76" s="143"/>
      <c r="C76" s="143"/>
      <c r="D76" s="143"/>
      <c r="E76" s="143"/>
      <c r="F76" s="143"/>
    </row>
    <row r="77" spans="1:6" ht="15" customHeight="1" x14ac:dyDescent="0.2">
      <c r="A77" s="10" t="s">
        <v>102</v>
      </c>
      <c r="B77" s="10" t="s">
        <v>103</v>
      </c>
      <c r="C77" s="10" t="s">
        <v>104</v>
      </c>
      <c r="D77" s="10" t="s">
        <v>105</v>
      </c>
      <c r="E77" s="10" t="s">
        <v>106</v>
      </c>
      <c r="F77" s="10" t="s">
        <v>107</v>
      </c>
    </row>
    <row r="78" spans="1:6" ht="15" customHeight="1" x14ac:dyDescent="0.2">
      <c r="A78" s="11">
        <v>1</v>
      </c>
      <c r="B78" s="12" t="s">
        <v>148</v>
      </c>
      <c r="C78" s="12" t="s">
        <v>149</v>
      </c>
      <c r="D78" s="13">
        <v>1.45</v>
      </c>
      <c r="E78" s="99">
        <f t="shared" ref="E78:E97" si="3">1/D78</f>
        <v>0.68965517241379315</v>
      </c>
      <c r="F78" s="100">
        <v>0.75</v>
      </c>
    </row>
    <row r="79" spans="1:6" ht="15" customHeight="1" x14ac:dyDescent="0.2">
      <c r="A79" s="14">
        <v>5</v>
      </c>
      <c r="B79" s="12" t="s">
        <v>112</v>
      </c>
      <c r="C79" s="12" t="s">
        <v>113</v>
      </c>
      <c r="D79" s="13">
        <v>1.05</v>
      </c>
      <c r="E79" s="99">
        <f t="shared" si="3"/>
        <v>0.95238095238095233</v>
      </c>
      <c r="F79" s="100">
        <v>0.98</v>
      </c>
    </row>
    <row r="80" spans="1:6" ht="15" customHeight="1" x14ac:dyDescent="0.2">
      <c r="A80" s="14">
        <v>6</v>
      </c>
      <c r="B80" s="12" t="s">
        <v>114</v>
      </c>
      <c r="C80" s="12" t="s">
        <v>115</v>
      </c>
      <c r="D80" s="13">
        <v>1.1000000000000001</v>
      </c>
      <c r="E80" s="99">
        <f t="shared" si="3"/>
        <v>0.90909090909090906</v>
      </c>
      <c r="F80" s="100">
        <v>0.98</v>
      </c>
    </row>
    <row r="81" spans="1:6" ht="15" customHeight="1" x14ac:dyDescent="0.2">
      <c r="A81" s="14">
        <v>10</v>
      </c>
      <c r="B81" s="12" t="s">
        <v>116</v>
      </c>
      <c r="C81" s="12" t="s">
        <v>117</v>
      </c>
      <c r="D81" s="13">
        <v>1.23</v>
      </c>
      <c r="E81" s="99">
        <f t="shared" si="3"/>
        <v>0.81300813008130079</v>
      </c>
      <c r="F81" s="100">
        <v>0.87</v>
      </c>
    </row>
    <row r="82" spans="1:6" ht="15" customHeight="1" x14ac:dyDescent="0.2">
      <c r="A82" s="14">
        <v>13</v>
      </c>
      <c r="B82" s="12" t="s">
        <v>122</v>
      </c>
      <c r="C82" s="12" t="s">
        <v>123</v>
      </c>
      <c r="D82" s="13">
        <v>1.28</v>
      </c>
      <c r="E82" s="99">
        <f t="shared" si="3"/>
        <v>0.78125</v>
      </c>
      <c r="F82" s="100">
        <v>0.85</v>
      </c>
    </row>
    <row r="83" spans="1:6" ht="15" customHeight="1" x14ac:dyDescent="0.2">
      <c r="A83" s="11">
        <v>17</v>
      </c>
      <c r="B83" s="12" t="s">
        <v>128</v>
      </c>
      <c r="C83" s="12" t="s">
        <v>129</v>
      </c>
      <c r="D83" s="13">
        <v>1.17</v>
      </c>
      <c r="E83" s="99">
        <f t="shared" si="3"/>
        <v>0.85470085470085477</v>
      </c>
      <c r="F83" s="100">
        <v>0.76</v>
      </c>
    </row>
    <row r="84" spans="1:6" ht="15" customHeight="1" x14ac:dyDescent="0.2">
      <c r="A84" s="14">
        <v>20</v>
      </c>
      <c r="B84" s="12" t="s">
        <v>130</v>
      </c>
      <c r="C84" s="12" t="s">
        <v>131</v>
      </c>
      <c r="D84" s="13">
        <v>1.06</v>
      </c>
      <c r="E84" s="99">
        <f t="shared" si="3"/>
        <v>0.94339622641509424</v>
      </c>
      <c r="F84" s="100">
        <v>0.99</v>
      </c>
    </row>
    <row r="85" spans="1:6" ht="15" customHeight="1" x14ac:dyDescent="0.2">
      <c r="A85" s="14">
        <v>21</v>
      </c>
      <c r="B85" s="12" t="s">
        <v>132</v>
      </c>
      <c r="C85" s="12" t="s">
        <v>133</v>
      </c>
      <c r="D85" s="13">
        <v>1.27</v>
      </c>
      <c r="E85" s="99">
        <f t="shared" si="3"/>
        <v>0.78740157480314954</v>
      </c>
      <c r="F85" s="100">
        <v>0.95</v>
      </c>
    </row>
    <row r="86" spans="1:6" ht="15" customHeight="1" x14ac:dyDescent="0.2">
      <c r="A86" s="11">
        <v>22</v>
      </c>
      <c r="B86" s="12" t="s">
        <v>161</v>
      </c>
      <c r="C86" s="12" t="s">
        <v>162</v>
      </c>
      <c r="D86" s="13">
        <v>1.2</v>
      </c>
      <c r="E86" s="99">
        <f t="shared" si="3"/>
        <v>0.83333333333333337</v>
      </c>
      <c r="F86" s="100">
        <v>0.83330000000000004</v>
      </c>
    </row>
    <row r="87" spans="1:6" ht="15" customHeight="1" x14ac:dyDescent="0.2">
      <c r="A87" s="11">
        <v>24</v>
      </c>
      <c r="B87" s="12" t="s">
        <v>140</v>
      </c>
      <c r="C87" s="12" t="s">
        <v>163</v>
      </c>
      <c r="D87" s="13">
        <v>1.47</v>
      </c>
      <c r="E87" s="99">
        <f t="shared" si="3"/>
        <v>0.68027210884353739</v>
      </c>
      <c r="F87" s="100">
        <v>0.73</v>
      </c>
    </row>
    <row r="88" spans="1:6" ht="15" customHeight="1" x14ac:dyDescent="0.2">
      <c r="A88" s="14">
        <v>28</v>
      </c>
      <c r="B88" s="12" t="s">
        <v>134</v>
      </c>
      <c r="C88" s="12" t="s">
        <v>135</v>
      </c>
      <c r="D88" s="13">
        <v>1.1200000000000001</v>
      </c>
      <c r="E88" s="99">
        <f t="shared" si="3"/>
        <v>0.89285714285714279</v>
      </c>
      <c r="F88" s="100">
        <v>0.96</v>
      </c>
    </row>
    <row r="89" spans="1:6" ht="15" customHeight="1" x14ac:dyDescent="0.2">
      <c r="A89" s="14">
        <v>30</v>
      </c>
      <c r="B89" s="12" t="s">
        <v>122</v>
      </c>
      <c r="C89" s="12" t="s">
        <v>136</v>
      </c>
      <c r="D89" s="13">
        <v>1.27</v>
      </c>
      <c r="E89" s="99">
        <f t="shared" si="3"/>
        <v>0.78740157480314954</v>
      </c>
      <c r="F89" s="100">
        <v>0.95</v>
      </c>
    </row>
    <row r="90" spans="1:6" ht="15" customHeight="1" x14ac:dyDescent="0.2">
      <c r="A90" s="11">
        <v>33</v>
      </c>
      <c r="B90" s="12" t="s">
        <v>150</v>
      </c>
      <c r="C90" s="12" t="s">
        <v>164</v>
      </c>
      <c r="D90" s="13">
        <v>1.52</v>
      </c>
      <c r="E90" s="99">
        <f t="shared" si="3"/>
        <v>0.65789473684210531</v>
      </c>
      <c r="F90" s="100">
        <v>0.75</v>
      </c>
    </row>
    <row r="91" spans="1:6" ht="15" customHeight="1" x14ac:dyDescent="0.2">
      <c r="A91" s="14">
        <v>34</v>
      </c>
      <c r="B91" s="12" t="s">
        <v>130</v>
      </c>
      <c r="C91" s="12" t="s">
        <v>137</v>
      </c>
      <c r="D91" s="13">
        <v>1.4</v>
      </c>
      <c r="E91" s="99">
        <f t="shared" si="3"/>
        <v>0.7142857142857143</v>
      </c>
      <c r="F91" s="100">
        <v>0.92</v>
      </c>
    </row>
    <row r="92" spans="1:6" ht="15" customHeight="1" x14ac:dyDescent="0.2">
      <c r="A92" s="14">
        <v>35</v>
      </c>
      <c r="B92" s="12" t="s">
        <v>138</v>
      </c>
      <c r="C92" s="12" t="s">
        <v>139</v>
      </c>
      <c r="D92" s="13">
        <v>1.26</v>
      </c>
      <c r="E92" s="99">
        <f t="shared" si="3"/>
        <v>0.79365079365079361</v>
      </c>
      <c r="F92" s="100">
        <v>0.93</v>
      </c>
    </row>
    <row r="93" spans="1:6" ht="15" customHeight="1" x14ac:dyDescent="0.2">
      <c r="A93" s="11">
        <v>36</v>
      </c>
      <c r="B93" s="12" t="s">
        <v>165</v>
      </c>
      <c r="C93" s="12" t="s">
        <v>166</v>
      </c>
      <c r="D93" s="13">
        <v>1.27</v>
      </c>
      <c r="E93" s="99">
        <f t="shared" si="3"/>
        <v>0.78740157480314954</v>
      </c>
      <c r="F93" s="100">
        <v>0.8</v>
      </c>
    </row>
    <row r="94" spans="1:6" ht="15" customHeight="1" x14ac:dyDescent="0.2">
      <c r="A94" s="11">
        <v>37</v>
      </c>
      <c r="B94" s="12" t="s">
        <v>167</v>
      </c>
      <c r="C94" s="12" t="s">
        <v>168</v>
      </c>
      <c r="D94" s="13">
        <v>1.34</v>
      </c>
      <c r="E94" s="99">
        <f t="shared" si="3"/>
        <v>0.74626865671641784</v>
      </c>
      <c r="F94" s="100">
        <v>0.84</v>
      </c>
    </row>
    <row r="95" spans="1:6" ht="15" customHeight="1" x14ac:dyDescent="0.2">
      <c r="A95" s="14">
        <v>39</v>
      </c>
      <c r="B95" s="12" t="s">
        <v>140</v>
      </c>
      <c r="C95" s="12" t="s">
        <v>141</v>
      </c>
      <c r="D95" s="13">
        <v>1.3</v>
      </c>
      <c r="E95" s="99">
        <f t="shared" si="3"/>
        <v>0.76923076923076916</v>
      </c>
      <c r="F95" s="100">
        <v>0.86</v>
      </c>
    </row>
    <row r="96" spans="1:6" ht="15" customHeight="1" x14ac:dyDescent="0.2">
      <c r="A96" s="14">
        <v>40</v>
      </c>
      <c r="B96" s="12" t="s">
        <v>142</v>
      </c>
      <c r="C96" s="12" t="s">
        <v>143</v>
      </c>
      <c r="D96" s="13">
        <v>1.2</v>
      </c>
      <c r="E96" s="99">
        <f t="shared" si="3"/>
        <v>0.83333333333333337</v>
      </c>
      <c r="F96" s="100">
        <v>0.95</v>
      </c>
    </row>
    <row r="97" spans="1:6" ht="15" customHeight="1" x14ac:dyDescent="0.2">
      <c r="A97" s="14">
        <v>41</v>
      </c>
      <c r="B97" s="12" t="s">
        <v>118</v>
      </c>
      <c r="C97" s="12" t="s">
        <v>144</v>
      </c>
      <c r="D97" s="13">
        <v>1.2</v>
      </c>
      <c r="E97" s="99">
        <f t="shared" si="3"/>
        <v>0.83333333333333337</v>
      </c>
      <c r="F97" s="100">
        <v>0.91</v>
      </c>
    </row>
    <row r="98" spans="1:6" ht="15" customHeight="1" x14ac:dyDescent="0.2">
      <c r="C98" s="15" t="s">
        <v>145</v>
      </c>
      <c r="D98" s="16">
        <f>ROUND(PRODUCT(D78:D97),2)</f>
        <v>89.01</v>
      </c>
      <c r="E98" s="101">
        <f>PRODUCT(E78:E97)</f>
        <v>1.1234729688309299E-2</v>
      </c>
      <c r="F98" s="101">
        <f>PRODUCT(F78:F97)</f>
        <v>6.7718577504654792E-2</v>
      </c>
    </row>
    <row r="99" spans="1:6" ht="15" customHeight="1" x14ac:dyDescent="0.2">
      <c r="C99" s="15" t="s">
        <v>146</v>
      </c>
      <c r="D99" s="17">
        <f>D98*20</f>
        <v>1780.2</v>
      </c>
    </row>
    <row r="101" spans="1:6" ht="15" customHeight="1" x14ac:dyDescent="0.2">
      <c r="A101" s="162" t="s">
        <v>169</v>
      </c>
      <c r="B101" s="143"/>
      <c r="C101" s="143"/>
      <c r="D101" s="143"/>
      <c r="E101" s="143"/>
      <c r="F101" s="143"/>
    </row>
    <row r="102" spans="1:6" ht="15" customHeight="1" x14ac:dyDescent="0.2">
      <c r="A102" s="10" t="s">
        <v>102</v>
      </c>
      <c r="B102" s="10" t="s">
        <v>103</v>
      </c>
      <c r="C102" s="10" t="s">
        <v>104</v>
      </c>
      <c r="D102" s="10" t="s">
        <v>105</v>
      </c>
      <c r="E102" s="10" t="s">
        <v>106</v>
      </c>
      <c r="F102" s="10" t="s">
        <v>107</v>
      </c>
    </row>
    <row r="103" spans="1:6" ht="15" customHeight="1" x14ac:dyDescent="0.2">
      <c r="A103" s="11">
        <v>2</v>
      </c>
      <c r="B103" s="12" t="s">
        <v>108</v>
      </c>
      <c r="C103" s="12" t="s">
        <v>109</v>
      </c>
      <c r="D103" s="13">
        <v>1.26</v>
      </c>
      <c r="E103" s="99">
        <f t="shared" ref="E103:E122" si="4">1/D103</f>
        <v>0.79365079365079361</v>
      </c>
      <c r="F103" s="100">
        <v>0.87</v>
      </c>
    </row>
    <row r="104" spans="1:6" ht="15" customHeight="1" x14ac:dyDescent="0.2">
      <c r="A104" s="14">
        <v>5</v>
      </c>
      <c r="B104" s="12" t="s">
        <v>112</v>
      </c>
      <c r="C104" s="12" t="s">
        <v>113</v>
      </c>
      <c r="D104" s="13">
        <v>1.05</v>
      </c>
      <c r="E104" s="99">
        <f t="shared" si="4"/>
        <v>0.95238095238095233</v>
      </c>
      <c r="F104" s="100">
        <v>0.98</v>
      </c>
    </row>
    <row r="105" spans="1:6" ht="15" customHeight="1" x14ac:dyDescent="0.2">
      <c r="A105" s="14">
        <v>6</v>
      </c>
      <c r="B105" s="12" t="s">
        <v>114</v>
      </c>
      <c r="C105" s="12" t="s">
        <v>115</v>
      </c>
      <c r="D105" s="13">
        <v>1.1000000000000001</v>
      </c>
      <c r="E105" s="99">
        <f t="shared" si="4"/>
        <v>0.90909090909090906</v>
      </c>
      <c r="F105" s="100">
        <v>0.98</v>
      </c>
    </row>
    <row r="106" spans="1:6" ht="15" customHeight="1" x14ac:dyDescent="0.2">
      <c r="A106" s="14">
        <v>10</v>
      </c>
      <c r="B106" s="12" t="s">
        <v>116</v>
      </c>
      <c r="C106" s="12" t="s">
        <v>117</v>
      </c>
      <c r="D106" s="13">
        <v>1.23</v>
      </c>
      <c r="E106" s="99">
        <f t="shared" si="4"/>
        <v>0.81300813008130079</v>
      </c>
      <c r="F106" s="100">
        <v>0.87</v>
      </c>
    </row>
    <row r="107" spans="1:6" ht="15" customHeight="1" x14ac:dyDescent="0.2">
      <c r="A107" s="11">
        <v>12</v>
      </c>
      <c r="B107" s="12" t="s">
        <v>120</v>
      </c>
      <c r="C107" s="12" t="s">
        <v>121</v>
      </c>
      <c r="D107" s="13">
        <v>1.34</v>
      </c>
      <c r="E107" s="99">
        <f t="shared" si="4"/>
        <v>0.74626865671641784</v>
      </c>
      <c r="F107" s="100">
        <v>0.82</v>
      </c>
    </row>
    <row r="108" spans="1:6" ht="15" customHeight="1" x14ac:dyDescent="0.2">
      <c r="A108" s="14">
        <v>13</v>
      </c>
      <c r="B108" s="12" t="s">
        <v>122</v>
      </c>
      <c r="C108" s="12" t="s">
        <v>123</v>
      </c>
      <c r="D108" s="13">
        <v>1.28</v>
      </c>
      <c r="E108" s="99">
        <f t="shared" si="4"/>
        <v>0.78125</v>
      </c>
      <c r="F108" s="100">
        <v>0.85</v>
      </c>
    </row>
    <row r="109" spans="1:6" ht="15" customHeight="1" x14ac:dyDescent="0.2">
      <c r="A109" s="11">
        <v>14</v>
      </c>
      <c r="B109" s="12" t="s">
        <v>124</v>
      </c>
      <c r="C109" s="12" t="s">
        <v>125</v>
      </c>
      <c r="D109" s="13">
        <v>1.29</v>
      </c>
      <c r="E109" s="99">
        <f t="shared" si="4"/>
        <v>0.77519379844961234</v>
      </c>
      <c r="F109" s="100">
        <v>0.8</v>
      </c>
    </row>
    <row r="110" spans="1:6" ht="15" customHeight="1" x14ac:dyDescent="0.2">
      <c r="A110" s="11">
        <v>15</v>
      </c>
      <c r="B110" s="12" t="s">
        <v>150</v>
      </c>
      <c r="C110" s="12" t="s">
        <v>151</v>
      </c>
      <c r="D110" s="13">
        <v>1.42</v>
      </c>
      <c r="E110" s="99">
        <f t="shared" si="4"/>
        <v>0.70422535211267612</v>
      </c>
      <c r="F110" s="100">
        <v>0.92</v>
      </c>
    </row>
    <row r="111" spans="1:6" ht="15" customHeight="1" x14ac:dyDescent="0.2">
      <c r="A111" s="14">
        <v>20</v>
      </c>
      <c r="B111" s="12" t="s">
        <v>130</v>
      </c>
      <c r="C111" s="12" t="s">
        <v>131</v>
      </c>
      <c r="D111" s="13">
        <v>1.06</v>
      </c>
      <c r="E111" s="99">
        <f t="shared" si="4"/>
        <v>0.94339622641509424</v>
      </c>
      <c r="F111" s="100">
        <v>0.99</v>
      </c>
    </row>
    <row r="112" spans="1:6" ht="15" customHeight="1" x14ac:dyDescent="0.2">
      <c r="A112" s="14">
        <v>21</v>
      </c>
      <c r="B112" s="12" t="s">
        <v>132</v>
      </c>
      <c r="C112" s="12" t="s">
        <v>133</v>
      </c>
      <c r="D112" s="13">
        <v>1.27</v>
      </c>
      <c r="E112" s="99">
        <f t="shared" si="4"/>
        <v>0.78740157480314954</v>
      </c>
      <c r="F112" s="100">
        <v>0.95</v>
      </c>
    </row>
    <row r="113" spans="1:6" ht="15" customHeight="1" x14ac:dyDescent="0.2">
      <c r="A113" s="11">
        <v>22</v>
      </c>
      <c r="B113" s="12" t="s">
        <v>161</v>
      </c>
      <c r="C113" s="12" t="s">
        <v>162</v>
      </c>
      <c r="D113" s="13">
        <v>1.2</v>
      </c>
      <c r="E113" s="99">
        <f t="shared" si="4"/>
        <v>0.83333333333333337</v>
      </c>
      <c r="F113" s="100">
        <v>0.83330000000000004</v>
      </c>
    </row>
    <row r="114" spans="1:6" ht="15" customHeight="1" x14ac:dyDescent="0.2">
      <c r="A114" s="11">
        <v>24</v>
      </c>
      <c r="B114" s="12" t="s">
        <v>140</v>
      </c>
      <c r="C114" s="12" t="s">
        <v>163</v>
      </c>
      <c r="D114" s="13">
        <v>1.47</v>
      </c>
      <c r="E114" s="99">
        <f t="shared" si="4"/>
        <v>0.68027210884353739</v>
      </c>
      <c r="F114" s="100">
        <v>0.73</v>
      </c>
    </row>
    <row r="115" spans="1:6" ht="15" customHeight="1" x14ac:dyDescent="0.2">
      <c r="A115" s="14">
        <v>28</v>
      </c>
      <c r="B115" s="12" t="s">
        <v>134</v>
      </c>
      <c r="C115" s="12" t="s">
        <v>135</v>
      </c>
      <c r="D115" s="13">
        <v>1.1200000000000001</v>
      </c>
      <c r="E115" s="99">
        <f t="shared" si="4"/>
        <v>0.89285714285714279</v>
      </c>
      <c r="F115" s="100">
        <v>0.96</v>
      </c>
    </row>
    <row r="116" spans="1:6" ht="15" customHeight="1" x14ac:dyDescent="0.2">
      <c r="A116" s="14">
        <v>30</v>
      </c>
      <c r="B116" s="12" t="s">
        <v>122</v>
      </c>
      <c r="C116" s="12" t="s">
        <v>136</v>
      </c>
      <c r="D116" s="13">
        <v>1.27</v>
      </c>
      <c r="E116" s="99">
        <f t="shared" si="4"/>
        <v>0.78740157480314954</v>
      </c>
      <c r="F116" s="100">
        <v>0.95</v>
      </c>
    </row>
    <row r="117" spans="1:6" ht="15" customHeight="1" x14ac:dyDescent="0.2">
      <c r="A117" s="11">
        <v>31</v>
      </c>
      <c r="B117" s="12" t="s">
        <v>142</v>
      </c>
      <c r="C117" s="12" t="s">
        <v>157</v>
      </c>
      <c r="D117" s="13">
        <v>1.32</v>
      </c>
      <c r="E117" s="99">
        <f t="shared" si="4"/>
        <v>0.75757575757575757</v>
      </c>
      <c r="F117" s="100">
        <v>0.82</v>
      </c>
    </row>
    <row r="118" spans="1:6" ht="15" customHeight="1" x14ac:dyDescent="0.2">
      <c r="A118" s="14">
        <v>34</v>
      </c>
      <c r="B118" s="12" t="s">
        <v>130</v>
      </c>
      <c r="C118" s="12" t="s">
        <v>137</v>
      </c>
      <c r="D118" s="13">
        <v>1.4</v>
      </c>
      <c r="E118" s="99">
        <f t="shared" si="4"/>
        <v>0.7142857142857143</v>
      </c>
      <c r="F118" s="100">
        <v>0.92</v>
      </c>
    </row>
    <row r="119" spans="1:6" ht="15" customHeight="1" x14ac:dyDescent="0.2">
      <c r="A119" s="14">
        <v>35</v>
      </c>
      <c r="B119" s="12" t="s">
        <v>138</v>
      </c>
      <c r="C119" s="12" t="s">
        <v>139</v>
      </c>
      <c r="D119" s="13">
        <v>1.26</v>
      </c>
      <c r="E119" s="99">
        <f t="shared" si="4"/>
        <v>0.79365079365079361</v>
      </c>
      <c r="F119" s="100">
        <v>0.93</v>
      </c>
    </row>
    <row r="120" spans="1:6" ht="15" customHeight="1" x14ac:dyDescent="0.2">
      <c r="A120" s="14">
        <v>39</v>
      </c>
      <c r="B120" s="12" t="s">
        <v>140</v>
      </c>
      <c r="C120" s="12" t="s">
        <v>141</v>
      </c>
      <c r="D120" s="13">
        <v>1.3</v>
      </c>
      <c r="E120" s="99">
        <f t="shared" si="4"/>
        <v>0.76923076923076916</v>
      </c>
      <c r="F120" s="100">
        <v>0.86</v>
      </c>
    </row>
    <row r="121" spans="1:6" ht="15" customHeight="1" x14ac:dyDescent="0.2">
      <c r="A121" s="14">
        <v>40</v>
      </c>
      <c r="B121" s="12" t="s">
        <v>142</v>
      </c>
      <c r="C121" s="12" t="s">
        <v>143</v>
      </c>
      <c r="D121" s="13">
        <v>1.2</v>
      </c>
      <c r="E121" s="99">
        <f t="shared" si="4"/>
        <v>0.83333333333333337</v>
      </c>
      <c r="F121" s="100">
        <v>0.95</v>
      </c>
    </row>
    <row r="122" spans="1:6" ht="15" customHeight="1" x14ac:dyDescent="0.2">
      <c r="A122" s="14">
        <v>41</v>
      </c>
      <c r="B122" s="12" t="s">
        <v>118</v>
      </c>
      <c r="C122" s="12" t="s">
        <v>144</v>
      </c>
      <c r="D122" s="13">
        <v>1.2</v>
      </c>
      <c r="E122" s="99">
        <f t="shared" si="4"/>
        <v>0.83333333333333337</v>
      </c>
      <c r="F122" s="100">
        <v>0.91</v>
      </c>
    </row>
    <row r="123" spans="1:6" ht="15" customHeight="1" x14ac:dyDescent="0.2">
      <c r="C123" s="15" t="s">
        <v>145</v>
      </c>
      <c r="D123" s="16">
        <f>ROUND(PRODUCT(D103:D122),2)</f>
        <v>82.81</v>
      </c>
      <c r="E123" s="101">
        <f>PRODUCT(E103:E122)</f>
        <v>1.2076505110277183E-2</v>
      </c>
      <c r="F123" s="101">
        <f>PRODUCT(F103:F122)</f>
        <v>0.10149092397635633</v>
      </c>
    </row>
    <row r="124" spans="1:6" ht="15" customHeight="1" x14ac:dyDescent="0.2">
      <c r="C124" s="15" t="s">
        <v>146</v>
      </c>
      <c r="D124" s="17">
        <f>D123*20</f>
        <v>1656.2</v>
      </c>
    </row>
    <row r="126" spans="1:6" ht="15" customHeight="1" x14ac:dyDescent="0.2">
      <c r="A126" s="162" t="s">
        <v>170</v>
      </c>
      <c r="B126" s="143"/>
      <c r="C126" s="143"/>
      <c r="D126" s="143"/>
      <c r="E126" s="143"/>
      <c r="F126" s="143"/>
    </row>
    <row r="127" spans="1:6" ht="15" customHeight="1" x14ac:dyDescent="0.2">
      <c r="A127" s="10" t="s">
        <v>102</v>
      </c>
      <c r="B127" s="10" t="s">
        <v>103</v>
      </c>
      <c r="C127" s="10" t="s">
        <v>104</v>
      </c>
      <c r="D127" s="10" t="s">
        <v>105</v>
      </c>
      <c r="E127" s="10" t="s">
        <v>106</v>
      </c>
      <c r="F127" s="10" t="s">
        <v>107</v>
      </c>
    </row>
    <row r="128" spans="1:6" ht="15" customHeight="1" x14ac:dyDescent="0.2">
      <c r="A128" s="11">
        <v>1</v>
      </c>
      <c r="B128" s="12" t="s">
        <v>148</v>
      </c>
      <c r="C128" s="12" t="s">
        <v>149</v>
      </c>
      <c r="D128" s="13">
        <v>1.45</v>
      </c>
      <c r="E128" s="99">
        <f t="shared" ref="E128:E147" si="5">1/D128</f>
        <v>0.68965517241379315</v>
      </c>
      <c r="F128" s="100">
        <v>0.75</v>
      </c>
    </row>
    <row r="129" spans="1:6" ht="15" customHeight="1" x14ac:dyDescent="0.2">
      <c r="A129" s="11">
        <v>4</v>
      </c>
      <c r="B129" s="12" t="s">
        <v>110</v>
      </c>
      <c r="C129" s="12" t="s">
        <v>111</v>
      </c>
      <c r="D129" s="13">
        <v>1.8</v>
      </c>
      <c r="E129" s="99">
        <f t="shared" si="5"/>
        <v>0.55555555555555558</v>
      </c>
      <c r="F129" s="100">
        <v>0.78</v>
      </c>
    </row>
    <row r="130" spans="1:6" ht="15" customHeight="1" x14ac:dyDescent="0.2">
      <c r="A130" s="14">
        <v>6</v>
      </c>
      <c r="B130" s="12" t="s">
        <v>114</v>
      </c>
      <c r="C130" s="12" t="s">
        <v>115</v>
      </c>
      <c r="D130" s="13">
        <v>1.1000000000000001</v>
      </c>
      <c r="E130" s="99">
        <f t="shared" si="5"/>
        <v>0.90909090909090906</v>
      </c>
      <c r="F130" s="100">
        <v>0.98</v>
      </c>
    </row>
    <row r="131" spans="1:6" ht="15" customHeight="1" x14ac:dyDescent="0.2">
      <c r="A131" s="14">
        <v>13</v>
      </c>
      <c r="B131" s="12" t="s">
        <v>122</v>
      </c>
      <c r="C131" s="12" t="s">
        <v>123</v>
      </c>
      <c r="D131" s="13">
        <v>1.28</v>
      </c>
      <c r="E131" s="99">
        <f t="shared" si="5"/>
        <v>0.78125</v>
      </c>
      <c r="F131" s="100">
        <v>0.85</v>
      </c>
    </row>
    <row r="132" spans="1:6" ht="15" customHeight="1" x14ac:dyDescent="0.2">
      <c r="A132" s="11">
        <v>15</v>
      </c>
      <c r="B132" s="12" t="s">
        <v>150</v>
      </c>
      <c r="C132" s="12" t="s">
        <v>151</v>
      </c>
      <c r="D132" s="13">
        <v>1.42</v>
      </c>
      <c r="E132" s="99">
        <f t="shared" si="5"/>
        <v>0.70422535211267612</v>
      </c>
      <c r="F132" s="100">
        <v>0.92</v>
      </c>
    </row>
    <row r="133" spans="1:6" ht="15" customHeight="1" x14ac:dyDescent="0.2">
      <c r="A133" s="11">
        <v>17</v>
      </c>
      <c r="B133" s="12" t="s">
        <v>128</v>
      </c>
      <c r="C133" s="12" t="s">
        <v>129</v>
      </c>
      <c r="D133" s="13">
        <v>1.17</v>
      </c>
      <c r="E133" s="99">
        <f t="shared" si="5"/>
        <v>0.85470085470085477</v>
      </c>
      <c r="F133" s="100">
        <v>0.76</v>
      </c>
    </row>
    <row r="134" spans="1:6" ht="15" customHeight="1" x14ac:dyDescent="0.2">
      <c r="A134" s="11">
        <v>19</v>
      </c>
      <c r="B134" s="12" t="s">
        <v>138</v>
      </c>
      <c r="C134" s="12" t="s">
        <v>152</v>
      </c>
      <c r="D134" s="13">
        <v>2.0499999999999998</v>
      </c>
      <c r="E134" s="99">
        <f t="shared" si="5"/>
        <v>0.48780487804878053</v>
      </c>
      <c r="F134" s="100">
        <v>0.82</v>
      </c>
    </row>
    <row r="135" spans="1:6" ht="15" customHeight="1" x14ac:dyDescent="0.2">
      <c r="A135" s="14">
        <v>20</v>
      </c>
      <c r="B135" s="12" t="s">
        <v>130</v>
      </c>
      <c r="C135" s="12" t="s">
        <v>131</v>
      </c>
      <c r="D135" s="13">
        <v>1.06</v>
      </c>
      <c r="E135" s="99">
        <f t="shared" si="5"/>
        <v>0.94339622641509424</v>
      </c>
      <c r="F135" s="100">
        <v>0.99</v>
      </c>
    </row>
    <row r="136" spans="1:6" ht="15" customHeight="1" x14ac:dyDescent="0.2">
      <c r="A136" s="14">
        <v>21</v>
      </c>
      <c r="B136" s="12" t="s">
        <v>132</v>
      </c>
      <c r="C136" s="12" t="s">
        <v>133</v>
      </c>
      <c r="D136" s="13">
        <v>1.27</v>
      </c>
      <c r="E136" s="99">
        <f t="shared" si="5"/>
        <v>0.78740157480314954</v>
      </c>
      <c r="F136" s="100">
        <v>0.95</v>
      </c>
    </row>
    <row r="137" spans="1:6" ht="15" customHeight="1" x14ac:dyDescent="0.2">
      <c r="A137" s="11">
        <v>23</v>
      </c>
      <c r="B137" s="12" t="s">
        <v>114</v>
      </c>
      <c r="C137" s="12" t="s">
        <v>154</v>
      </c>
      <c r="D137" s="13">
        <v>1.1299999999999999</v>
      </c>
      <c r="E137" s="99">
        <f t="shared" si="5"/>
        <v>0.88495575221238942</v>
      </c>
      <c r="F137" s="100">
        <v>0.88500000000000001</v>
      </c>
    </row>
    <row r="138" spans="1:6" ht="15" customHeight="1" x14ac:dyDescent="0.2">
      <c r="A138" s="11">
        <v>26</v>
      </c>
      <c r="B138" s="12" t="s">
        <v>155</v>
      </c>
      <c r="C138" s="12" t="s">
        <v>156</v>
      </c>
      <c r="D138" s="13">
        <v>1.19</v>
      </c>
      <c r="E138" s="99">
        <f t="shared" si="5"/>
        <v>0.84033613445378152</v>
      </c>
      <c r="F138" s="100">
        <v>0.87</v>
      </c>
    </row>
    <row r="139" spans="1:6" ht="15" customHeight="1" x14ac:dyDescent="0.2">
      <c r="A139" s="14">
        <v>28</v>
      </c>
      <c r="B139" s="12" t="s">
        <v>134</v>
      </c>
      <c r="C139" s="12" t="s">
        <v>135</v>
      </c>
      <c r="D139" s="13">
        <v>1.1200000000000001</v>
      </c>
      <c r="E139" s="99">
        <f t="shared" si="5"/>
        <v>0.89285714285714279</v>
      </c>
      <c r="F139" s="100">
        <v>0.96</v>
      </c>
    </row>
    <row r="140" spans="1:6" ht="15" customHeight="1" x14ac:dyDescent="0.2">
      <c r="A140" s="14">
        <v>30</v>
      </c>
      <c r="B140" s="12" t="s">
        <v>122</v>
      </c>
      <c r="C140" s="12" t="s">
        <v>136</v>
      </c>
      <c r="D140" s="13">
        <v>1.27</v>
      </c>
      <c r="E140" s="99">
        <f t="shared" si="5"/>
        <v>0.78740157480314954</v>
      </c>
      <c r="F140" s="100">
        <v>0.95</v>
      </c>
    </row>
    <row r="141" spans="1:6" ht="15" customHeight="1" x14ac:dyDescent="0.2">
      <c r="A141" s="11">
        <v>33</v>
      </c>
      <c r="B141" s="12" t="s">
        <v>150</v>
      </c>
      <c r="C141" s="12" t="s">
        <v>164</v>
      </c>
      <c r="D141" s="13">
        <v>1.52</v>
      </c>
      <c r="E141" s="99">
        <f t="shared" si="5"/>
        <v>0.65789473684210531</v>
      </c>
      <c r="F141" s="100">
        <v>0.75</v>
      </c>
    </row>
    <row r="142" spans="1:6" ht="15" customHeight="1" x14ac:dyDescent="0.2">
      <c r="A142" s="14">
        <v>34</v>
      </c>
      <c r="B142" s="12" t="s">
        <v>130</v>
      </c>
      <c r="C142" s="12" t="s">
        <v>137</v>
      </c>
      <c r="D142" s="13">
        <v>1.4</v>
      </c>
      <c r="E142" s="99">
        <f t="shared" si="5"/>
        <v>0.7142857142857143</v>
      </c>
      <c r="F142" s="100">
        <v>0.92</v>
      </c>
    </row>
    <row r="143" spans="1:6" ht="15" customHeight="1" x14ac:dyDescent="0.2">
      <c r="A143" s="14">
        <v>35</v>
      </c>
      <c r="B143" s="12" t="s">
        <v>138</v>
      </c>
      <c r="C143" s="12" t="s">
        <v>139</v>
      </c>
      <c r="D143" s="13">
        <v>1.26</v>
      </c>
      <c r="E143" s="99">
        <f t="shared" si="5"/>
        <v>0.79365079365079361</v>
      </c>
      <c r="F143" s="100">
        <v>0.93</v>
      </c>
    </row>
    <row r="144" spans="1:6" ht="15" customHeight="1" x14ac:dyDescent="0.2">
      <c r="A144" s="11">
        <v>36</v>
      </c>
      <c r="B144" s="12" t="s">
        <v>165</v>
      </c>
      <c r="C144" s="12" t="s">
        <v>166</v>
      </c>
      <c r="D144" s="13">
        <v>1.27</v>
      </c>
      <c r="E144" s="99">
        <f t="shared" si="5"/>
        <v>0.78740157480314954</v>
      </c>
      <c r="F144" s="100">
        <v>0.8</v>
      </c>
    </row>
    <row r="145" spans="1:6" ht="15" customHeight="1" x14ac:dyDescent="0.2">
      <c r="A145" s="11">
        <v>37</v>
      </c>
      <c r="B145" s="12" t="s">
        <v>167</v>
      </c>
      <c r="C145" s="12" t="s">
        <v>168</v>
      </c>
      <c r="D145" s="13">
        <v>1.34</v>
      </c>
      <c r="E145" s="99">
        <f t="shared" si="5"/>
        <v>0.74626865671641784</v>
      </c>
      <c r="F145" s="100">
        <v>0.84</v>
      </c>
    </row>
    <row r="146" spans="1:6" ht="15" customHeight="1" x14ac:dyDescent="0.2">
      <c r="A146" s="14">
        <v>40</v>
      </c>
      <c r="B146" s="12" t="s">
        <v>142</v>
      </c>
      <c r="C146" s="12" t="s">
        <v>143</v>
      </c>
      <c r="D146" s="13">
        <v>1.2</v>
      </c>
      <c r="E146" s="99">
        <f t="shared" si="5"/>
        <v>0.83333333333333337</v>
      </c>
      <c r="F146" s="100">
        <v>0.95</v>
      </c>
    </row>
    <row r="147" spans="1:6" ht="15" customHeight="1" x14ac:dyDescent="0.2">
      <c r="A147" s="14">
        <v>41</v>
      </c>
      <c r="B147" s="12" t="s">
        <v>118</v>
      </c>
      <c r="C147" s="12" t="s">
        <v>144</v>
      </c>
      <c r="D147" s="13">
        <v>1.2</v>
      </c>
      <c r="E147" s="99">
        <f t="shared" si="5"/>
        <v>0.83333333333333337</v>
      </c>
      <c r="F147" s="100">
        <v>0.91</v>
      </c>
    </row>
    <row r="148" spans="1:6" ht="15" customHeight="1" x14ac:dyDescent="0.2">
      <c r="C148" s="15" t="s">
        <v>145</v>
      </c>
      <c r="D148" s="16">
        <f>ROUND(PRODUCT(D128:D147),2)</f>
        <v>211.76</v>
      </c>
      <c r="E148" s="101">
        <f>PRODUCT(E128:E147)</f>
        <v>4.7223574358335402E-3</v>
      </c>
      <c r="F148" s="101">
        <f>PRODUCT(F128:F147)</f>
        <v>6.8785771231300141E-2</v>
      </c>
    </row>
    <row r="149" spans="1:6" ht="15" customHeight="1" x14ac:dyDescent="0.2">
      <c r="C149" s="15" t="s">
        <v>146</v>
      </c>
      <c r="D149" s="17">
        <f>D148*20</f>
        <v>4235.2</v>
      </c>
    </row>
    <row r="151" spans="1:6" ht="15" customHeight="1" x14ac:dyDescent="0.2">
      <c r="A151" s="162" t="s">
        <v>171</v>
      </c>
      <c r="B151" s="143"/>
      <c r="C151" s="143"/>
      <c r="D151" s="143"/>
      <c r="E151" s="143"/>
      <c r="F151" s="143"/>
    </row>
    <row r="152" spans="1:6" ht="15" customHeight="1" x14ac:dyDescent="0.2">
      <c r="A152" s="10" t="s">
        <v>102</v>
      </c>
      <c r="B152" s="10" t="s">
        <v>103</v>
      </c>
      <c r="C152" s="10" t="s">
        <v>104</v>
      </c>
      <c r="D152" s="10" t="s">
        <v>105</v>
      </c>
      <c r="E152" s="10" t="s">
        <v>106</v>
      </c>
      <c r="F152" s="10" t="s">
        <v>107</v>
      </c>
    </row>
    <row r="153" spans="1:6" ht="15" customHeight="1" x14ac:dyDescent="0.2">
      <c r="A153" s="11">
        <v>1</v>
      </c>
      <c r="B153" s="12" t="s">
        <v>148</v>
      </c>
      <c r="C153" s="12" t="s">
        <v>149</v>
      </c>
      <c r="D153" s="13">
        <v>1.45</v>
      </c>
      <c r="E153" s="99">
        <f t="shared" ref="E153:E172" si="6">1/D153</f>
        <v>0.68965517241379315</v>
      </c>
      <c r="F153" s="100">
        <v>0.75</v>
      </c>
    </row>
    <row r="154" spans="1:6" ht="15" customHeight="1" x14ac:dyDescent="0.2">
      <c r="A154" s="11">
        <v>2</v>
      </c>
      <c r="B154" s="12" t="s">
        <v>108</v>
      </c>
      <c r="C154" s="12" t="s">
        <v>109</v>
      </c>
      <c r="D154" s="13">
        <v>1.26</v>
      </c>
      <c r="E154" s="99">
        <f t="shared" si="6"/>
        <v>0.79365079365079361</v>
      </c>
      <c r="F154" s="100">
        <v>0.87</v>
      </c>
    </row>
    <row r="155" spans="1:6" ht="15" customHeight="1" x14ac:dyDescent="0.2">
      <c r="A155" s="11">
        <v>4</v>
      </c>
      <c r="B155" s="12" t="s">
        <v>110</v>
      </c>
      <c r="C155" s="12" t="s">
        <v>111</v>
      </c>
      <c r="D155" s="13">
        <v>1.8</v>
      </c>
      <c r="E155" s="99">
        <f t="shared" si="6"/>
        <v>0.55555555555555558</v>
      </c>
      <c r="F155" s="100">
        <v>0.78</v>
      </c>
    </row>
    <row r="156" spans="1:6" ht="15" customHeight="1" x14ac:dyDescent="0.2">
      <c r="A156" s="14">
        <v>5</v>
      </c>
      <c r="B156" s="12" t="s">
        <v>112</v>
      </c>
      <c r="C156" s="12" t="s">
        <v>113</v>
      </c>
      <c r="D156" s="13">
        <v>1.05</v>
      </c>
      <c r="E156" s="99">
        <f t="shared" si="6"/>
        <v>0.95238095238095233</v>
      </c>
      <c r="F156" s="100">
        <v>0.98</v>
      </c>
    </row>
    <row r="157" spans="1:6" ht="15" customHeight="1" x14ac:dyDescent="0.2">
      <c r="A157" s="14">
        <v>10</v>
      </c>
      <c r="B157" s="12" t="s">
        <v>116</v>
      </c>
      <c r="C157" s="12" t="s">
        <v>117</v>
      </c>
      <c r="D157" s="13">
        <v>1.23</v>
      </c>
      <c r="E157" s="99">
        <f t="shared" si="6"/>
        <v>0.81300813008130079</v>
      </c>
      <c r="F157" s="100">
        <v>0.87</v>
      </c>
    </row>
    <row r="158" spans="1:6" ht="15" customHeight="1" x14ac:dyDescent="0.2">
      <c r="A158" s="11">
        <v>11</v>
      </c>
      <c r="B158" s="12" t="s">
        <v>118</v>
      </c>
      <c r="C158" s="12" t="s">
        <v>119</v>
      </c>
      <c r="D158" s="13">
        <v>1.42</v>
      </c>
      <c r="E158" s="99">
        <f t="shared" si="6"/>
        <v>0.70422535211267612</v>
      </c>
      <c r="F158" s="100">
        <v>0.68</v>
      </c>
    </row>
    <row r="159" spans="1:6" ht="15" customHeight="1" x14ac:dyDescent="0.2">
      <c r="A159" s="11">
        <v>12</v>
      </c>
      <c r="B159" s="12" t="s">
        <v>120</v>
      </c>
      <c r="C159" s="12" t="s">
        <v>121</v>
      </c>
      <c r="D159" s="13">
        <v>1.34</v>
      </c>
      <c r="E159" s="99">
        <f t="shared" si="6"/>
        <v>0.74626865671641784</v>
      </c>
      <c r="F159" s="100">
        <v>0.82</v>
      </c>
    </row>
    <row r="160" spans="1:6" ht="15" customHeight="1" x14ac:dyDescent="0.2">
      <c r="A160" s="14">
        <v>13</v>
      </c>
      <c r="B160" s="12" t="s">
        <v>122</v>
      </c>
      <c r="C160" s="12" t="s">
        <v>123</v>
      </c>
      <c r="D160" s="13">
        <v>1.28</v>
      </c>
      <c r="E160" s="99">
        <f t="shared" si="6"/>
        <v>0.78125</v>
      </c>
      <c r="F160" s="100">
        <v>0.85</v>
      </c>
    </row>
    <row r="161" spans="1:6" ht="15" customHeight="1" x14ac:dyDescent="0.2">
      <c r="A161" s="11">
        <v>16</v>
      </c>
      <c r="B161" s="12" t="s">
        <v>126</v>
      </c>
      <c r="C161" s="12" t="s">
        <v>127</v>
      </c>
      <c r="D161" s="13">
        <v>1.27</v>
      </c>
      <c r="E161" s="99">
        <f t="shared" si="6"/>
        <v>0.78740157480314954</v>
      </c>
      <c r="F161" s="100">
        <v>0.88</v>
      </c>
    </row>
    <row r="162" spans="1:6" ht="15" customHeight="1" x14ac:dyDescent="0.2">
      <c r="A162" s="11">
        <v>17</v>
      </c>
      <c r="B162" s="12" t="s">
        <v>128</v>
      </c>
      <c r="C162" s="12" t="s">
        <v>129</v>
      </c>
      <c r="D162" s="13">
        <v>1.17</v>
      </c>
      <c r="E162" s="99">
        <f t="shared" si="6"/>
        <v>0.85470085470085477</v>
      </c>
      <c r="F162" s="100">
        <v>0.76</v>
      </c>
    </row>
    <row r="163" spans="1:6" ht="15" customHeight="1" x14ac:dyDescent="0.2">
      <c r="A163" s="14">
        <v>21</v>
      </c>
      <c r="B163" s="12" t="s">
        <v>132</v>
      </c>
      <c r="C163" s="12" t="s">
        <v>133</v>
      </c>
      <c r="D163" s="13">
        <v>1.27</v>
      </c>
      <c r="E163" s="99">
        <f t="shared" si="6"/>
        <v>0.78740157480314954</v>
      </c>
      <c r="F163" s="100">
        <v>0.95</v>
      </c>
    </row>
    <row r="164" spans="1:6" ht="15" customHeight="1" x14ac:dyDescent="0.2">
      <c r="A164" s="11">
        <v>24</v>
      </c>
      <c r="B164" s="12" t="s">
        <v>140</v>
      </c>
      <c r="C164" s="12" t="s">
        <v>163</v>
      </c>
      <c r="D164" s="13">
        <v>1.47</v>
      </c>
      <c r="E164" s="99">
        <f t="shared" si="6"/>
        <v>0.68027210884353739</v>
      </c>
      <c r="F164" s="100">
        <v>0.73</v>
      </c>
    </row>
    <row r="165" spans="1:6" ht="15" customHeight="1" x14ac:dyDescent="0.2">
      <c r="A165" s="11">
        <v>26</v>
      </c>
      <c r="B165" s="12" t="s">
        <v>155</v>
      </c>
      <c r="C165" s="12" t="s">
        <v>156</v>
      </c>
      <c r="D165" s="13">
        <v>1.19</v>
      </c>
      <c r="E165" s="99">
        <f t="shared" si="6"/>
        <v>0.84033613445378152</v>
      </c>
      <c r="F165" s="100">
        <v>0.87</v>
      </c>
    </row>
    <row r="166" spans="1:6" ht="15" customHeight="1" x14ac:dyDescent="0.2">
      <c r="A166" s="14">
        <v>30</v>
      </c>
      <c r="B166" s="12" t="s">
        <v>122</v>
      </c>
      <c r="C166" s="12" t="s">
        <v>136</v>
      </c>
      <c r="D166" s="13">
        <v>1.27</v>
      </c>
      <c r="E166" s="99">
        <f t="shared" si="6"/>
        <v>0.78740157480314954</v>
      </c>
      <c r="F166" s="100">
        <v>0.95</v>
      </c>
    </row>
    <row r="167" spans="1:6" ht="15" customHeight="1" x14ac:dyDescent="0.2">
      <c r="A167" s="11">
        <v>31</v>
      </c>
      <c r="B167" s="12" t="s">
        <v>142</v>
      </c>
      <c r="C167" s="12" t="s">
        <v>157</v>
      </c>
      <c r="D167" s="13">
        <v>1.32</v>
      </c>
      <c r="E167" s="99">
        <f t="shared" si="6"/>
        <v>0.75757575757575757</v>
      </c>
      <c r="F167" s="100">
        <v>0.82</v>
      </c>
    </row>
    <row r="168" spans="1:6" ht="15" customHeight="1" x14ac:dyDescent="0.2">
      <c r="A168" s="11">
        <v>32</v>
      </c>
      <c r="B168" s="12" t="s">
        <v>158</v>
      </c>
      <c r="C168" s="12" t="s">
        <v>159</v>
      </c>
      <c r="D168" s="13">
        <v>1.5</v>
      </c>
      <c r="E168" s="99">
        <f t="shared" si="6"/>
        <v>0.66666666666666663</v>
      </c>
      <c r="F168" s="100">
        <v>0.84</v>
      </c>
    </row>
    <row r="169" spans="1:6" ht="15" customHeight="1" x14ac:dyDescent="0.2">
      <c r="A169" s="11">
        <v>33</v>
      </c>
      <c r="B169" s="12" t="s">
        <v>150</v>
      </c>
      <c r="C169" s="12" t="s">
        <v>164</v>
      </c>
      <c r="D169" s="13">
        <v>1.52</v>
      </c>
      <c r="E169" s="99">
        <f t="shared" si="6"/>
        <v>0.65789473684210531</v>
      </c>
      <c r="F169" s="100">
        <v>0.75</v>
      </c>
    </row>
    <row r="170" spans="1:6" ht="15" customHeight="1" x14ac:dyDescent="0.2">
      <c r="A170" s="14">
        <v>34</v>
      </c>
      <c r="B170" s="12" t="s">
        <v>130</v>
      </c>
      <c r="C170" s="12" t="s">
        <v>137</v>
      </c>
      <c r="D170" s="13">
        <v>1.4</v>
      </c>
      <c r="E170" s="99">
        <f t="shared" si="6"/>
        <v>0.7142857142857143</v>
      </c>
      <c r="F170" s="100">
        <v>0.92</v>
      </c>
    </row>
    <row r="171" spans="1:6" ht="15" customHeight="1" x14ac:dyDescent="0.2">
      <c r="A171" s="11">
        <v>36</v>
      </c>
      <c r="B171" s="12" t="s">
        <v>165</v>
      </c>
      <c r="C171" s="12" t="s">
        <v>166</v>
      </c>
      <c r="D171" s="13">
        <v>1.27</v>
      </c>
      <c r="E171" s="99">
        <f t="shared" si="6"/>
        <v>0.78740157480314954</v>
      </c>
      <c r="F171" s="100">
        <v>0.8</v>
      </c>
    </row>
    <row r="172" spans="1:6" ht="15" customHeight="1" x14ac:dyDescent="0.2">
      <c r="A172" s="14">
        <v>39</v>
      </c>
      <c r="B172" s="12" t="s">
        <v>140</v>
      </c>
      <c r="C172" s="12" t="s">
        <v>141</v>
      </c>
      <c r="D172" s="13">
        <v>1.3</v>
      </c>
      <c r="E172" s="99">
        <f t="shared" si="6"/>
        <v>0.76923076923076916</v>
      </c>
      <c r="F172" s="100">
        <v>0.86</v>
      </c>
    </row>
    <row r="173" spans="1:6" ht="15" customHeight="1" x14ac:dyDescent="0.2">
      <c r="C173" s="15" t="s">
        <v>145</v>
      </c>
      <c r="D173" s="16">
        <f>ROUND(PRODUCT(D153:D172),2)</f>
        <v>301.69</v>
      </c>
      <c r="E173" s="101">
        <f>PRODUCT(E153:E172)</f>
        <v>3.3147151765832434E-3</v>
      </c>
      <c r="F173" s="101">
        <f>PRODUCT(F153:F172)</f>
        <v>2.5779731689201342E-2</v>
      </c>
    </row>
    <row r="174" spans="1:6" ht="15" customHeight="1" x14ac:dyDescent="0.2">
      <c r="C174" s="15" t="s">
        <v>146</v>
      </c>
      <c r="D174" s="17">
        <f>D173*20</f>
        <v>6033.8</v>
      </c>
    </row>
    <row r="176" spans="1:6" ht="15" customHeight="1" x14ac:dyDescent="0.2">
      <c r="A176" s="162" t="s">
        <v>172</v>
      </c>
      <c r="B176" s="143"/>
      <c r="C176" s="143"/>
      <c r="D176" s="143"/>
      <c r="E176" s="143"/>
      <c r="F176" s="143"/>
    </row>
    <row r="177" spans="1:6" ht="15" customHeight="1" x14ac:dyDescent="0.2">
      <c r="A177" s="10" t="s">
        <v>102</v>
      </c>
      <c r="B177" s="10" t="s">
        <v>103</v>
      </c>
      <c r="C177" s="10" t="s">
        <v>104</v>
      </c>
      <c r="D177" s="10" t="s">
        <v>105</v>
      </c>
      <c r="E177" s="10" t="s">
        <v>106</v>
      </c>
      <c r="F177" s="10" t="s">
        <v>107</v>
      </c>
    </row>
    <row r="178" spans="1:6" ht="15" customHeight="1" x14ac:dyDescent="0.2">
      <c r="A178" s="11">
        <v>4</v>
      </c>
      <c r="B178" s="12" t="s">
        <v>110</v>
      </c>
      <c r="C178" s="12" t="s">
        <v>111</v>
      </c>
      <c r="D178" s="13">
        <v>1.8</v>
      </c>
      <c r="E178" s="99">
        <f t="shared" ref="E178:E197" si="7">1/D178</f>
        <v>0.55555555555555558</v>
      </c>
      <c r="F178" s="100">
        <v>0.78</v>
      </c>
    </row>
    <row r="179" spans="1:6" ht="15" customHeight="1" x14ac:dyDescent="0.2">
      <c r="A179" s="14">
        <v>5</v>
      </c>
      <c r="B179" s="12" t="s">
        <v>112</v>
      </c>
      <c r="C179" s="12" t="s">
        <v>113</v>
      </c>
      <c r="D179" s="13">
        <v>1.05</v>
      </c>
      <c r="E179" s="99">
        <f t="shared" si="7"/>
        <v>0.95238095238095233</v>
      </c>
      <c r="F179" s="100">
        <v>0.98</v>
      </c>
    </row>
    <row r="180" spans="1:6" ht="15" customHeight="1" x14ac:dyDescent="0.2">
      <c r="A180" s="14">
        <v>6</v>
      </c>
      <c r="B180" s="12" t="s">
        <v>114</v>
      </c>
      <c r="C180" s="12" t="s">
        <v>115</v>
      </c>
      <c r="D180" s="13">
        <v>1.1000000000000001</v>
      </c>
      <c r="E180" s="99">
        <f t="shared" si="7"/>
        <v>0.90909090909090906</v>
      </c>
      <c r="F180" s="100">
        <v>0.98</v>
      </c>
    </row>
    <row r="181" spans="1:6" ht="15" customHeight="1" x14ac:dyDescent="0.2">
      <c r="A181" s="14">
        <v>10</v>
      </c>
      <c r="B181" s="12" t="s">
        <v>116</v>
      </c>
      <c r="C181" s="12" t="s">
        <v>117</v>
      </c>
      <c r="D181" s="13">
        <v>1.23</v>
      </c>
      <c r="E181" s="99">
        <f t="shared" si="7"/>
        <v>0.81300813008130079</v>
      </c>
      <c r="F181" s="100">
        <v>0.87</v>
      </c>
    </row>
    <row r="182" spans="1:6" ht="15" customHeight="1" x14ac:dyDescent="0.2">
      <c r="A182" s="11">
        <v>11</v>
      </c>
      <c r="B182" s="12" t="s">
        <v>118</v>
      </c>
      <c r="C182" s="12" t="s">
        <v>119</v>
      </c>
      <c r="D182" s="13">
        <v>1.42</v>
      </c>
      <c r="E182" s="99">
        <f t="shared" si="7"/>
        <v>0.70422535211267612</v>
      </c>
      <c r="F182" s="100">
        <v>0.68</v>
      </c>
    </row>
    <row r="183" spans="1:6" ht="15" customHeight="1" x14ac:dyDescent="0.2">
      <c r="A183" s="11">
        <v>14</v>
      </c>
      <c r="B183" s="12" t="s">
        <v>124</v>
      </c>
      <c r="C183" s="12" t="s">
        <v>125</v>
      </c>
      <c r="D183" s="13">
        <v>1.29</v>
      </c>
      <c r="E183" s="99">
        <f t="shared" si="7"/>
        <v>0.77519379844961234</v>
      </c>
      <c r="F183" s="100">
        <v>0.8</v>
      </c>
    </row>
    <row r="184" spans="1:6" ht="15" customHeight="1" x14ac:dyDescent="0.2">
      <c r="A184" s="11">
        <v>15</v>
      </c>
      <c r="B184" s="12" t="s">
        <v>150</v>
      </c>
      <c r="C184" s="12" t="s">
        <v>151</v>
      </c>
      <c r="D184" s="13">
        <v>1.42</v>
      </c>
      <c r="E184" s="99">
        <f t="shared" si="7"/>
        <v>0.70422535211267612</v>
      </c>
      <c r="F184" s="100">
        <v>0.92</v>
      </c>
    </row>
    <row r="185" spans="1:6" ht="15" customHeight="1" x14ac:dyDescent="0.2">
      <c r="A185" s="11">
        <v>16</v>
      </c>
      <c r="B185" s="12" t="s">
        <v>126</v>
      </c>
      <c r="C185" s="12" t="s">
        <v>127</v>
      </c>
      <c r="D185" s="13">
        <v>1.27</v>
      </c>
      <c r="E185" s="99">
        <f t="shared" si="7"/>
        <v>0.78740157480314954</v>
      </c>
      <c r="F185" s="100">
        <v>0.88</v>
      </c>
    </row>
    <row r="186" spans="1:6" ht="15" customHeight="1" x14ac:dyDescent="0.2">
      <c r="A186" s="11">
        <v>19</v>
      </c>
      <c r="B186" s="12" t="s">
        <v>138</v>
      </c>
      <c r="C186" s="12" t="s">
        <v>152</v>
      </c>
      <c r="D186" s="13">
        <v>2.0499999999999998</v>
      </c>
      <c r="E186" s="99">
        <f t="shared" si="7"/>
        <v>0.48780487804878053</v>
      </c>
      <c r="F186" s="100">
        <v>0.82</v>
      </c>
    </row>
    <row r="187" spans="1:6" ht="15" customHeight="1" x14ac:dyDescent="0.2">
      <c r="A187" s="14">
        <v>20</v>
      </c>
      <c r="B187" s="12" t="s">
        <v>130</v>
      </c>
      <c r="C187" s="12" t="s">
        <v>131</v>
      </c>
      <c r="D187" s="13">
        <v>1.06</v>
      </c>
      <c r="E187" s="99">
        <f t="shared" si="7"/>
        <v>0.94339622641509424</v>
      </c>
      <c r="F187" s="100">
        <v>0.99</v>
      </c>
    </row>
    <row r="188" spans="1:6" ht="15" customHeight="1" x14ac:dyDescent="0.2">
      <c r="A188" s="11">
        <v>22</v>
      </c>
      <c r="B188" s="12" t="s">
        <v>161</v>
      </c>
      <c r="C188" s="12" t="s">
        <v>162</v>
      </c>
      <c r="D188" s="13">
        <v>1.2</v>
      </c>
      <c r="E188" s="99">
        <f t="shared" si="7"/>
        <v>0.83333333333333337</v>
      </c>
      <c r="F188" s="100">
        <v>0.83330000000000004</v>
      </c>
    </row>
    <row r="189" spans="1:6" ht="15" customHeight="1" x14ac:dyDescent="0.2">
      <c r="A189" s="11">
        <v>23</v>
      </c>
      <c r="B189" s="12" t="s">
        <v>114</v>
      </c>
      <c r="C189" s="12" t="s">
        <v>154</v>
      </c>
      <c r="D189" s="13">
        <v>1.1299999999999999</v>
      </c>
      <c r="E189" s="99">
        <f t="shared" si="7"/>
        <v>0.88495575221238942</v>
      </c>
      <c r="F189" s="100">
        <v>0.88500000000000001</v>
      </c>
    </row>
    <row r="190" spans="1:6" ht="15" customHeight="1" x14ac:dyDescent="0.2">
      <c r="A190" s="14">
        <v>28</v>
      </c>
      <c r="B190" s="12" t="s">
        <v>134</v>
      </c>
      <c r="C190" s="12" t="s">
        <v>135</v>
      </c>
      <c r="D190" s="13">
        <v>1.1200000000000001</v>
      </c>
      <c r="E190" s="99">
        <f t="shared" si="7"/>
        <v>0.89285714285714279</v>
      </c>
      <c r="F190" s="100">
        <v>0.96</v>
      </c>
    </row>
    <row r="191" spans="1:6" ht="15" customHeight="1" x14ac:dyDescent="0.2">
      <c r="A191" s="11">
        <v>32</v>
      </c>
      <c r="B191" s="12" t="s">
        <v>158</v>
      </c>
      <c r="C191" s="12" t="s">
        <v>159</v>
      </c>
      <c r="D191" s="13">
        <v>1.5</v>
      </c>
      <c r="E191" s="99">
        <f t="shared" si="7"/>
        <v>0.66666666666666663</v>
      </c>
      <c r="F191" s="100">
        <v>0.84</v>
      </c>
    </row>
    <row r="192" spans="1:6" ht="15" customHeight="1" x14ac:dyDescent="0.2">
      <c r="A192" s="14">
        <v>35</v>
      </c>
      <c r="B192" s="12" t="s">
        <v>138</v>
      </c>
      <c r="C192" s="12" t="s">
        <v>139</v>
      </c>
      <c r="D192" s="13">
        <v>1.26</v>
      </c>
      <c r="E192" s="99">
        <f t="shared" si="7"/>
        <v>0.79365079365079361</v>
      </c>
      <c r="F192" s="100">
        <v>0.93</v>
      </c>
    </row>
    <row r="193" spans="1:6" ht="15" customHeight="1" x14ac:dyDescent="0.2">
      <c r="A193" s="11">
        <v>37</v>
      </c>
      <c r="B193" s="12" t="s">
        <v>167</v>
      </c>
      <c r="C193" s="12" t="s">
        <v>168</v>
      </c>
      <c r="D193" s="13">
        <v>1.34</v>
      </c>
      <c r="E193" s="99">
        <f t="shared" si="7"/>
        <v>0.74626865671641784</v>
      </c>
      <c r="F193" s="100">
        <v>0.84</v>
      </c>
    </row>
    <row r="194" spans="1:6" ht="15" customHeight="1" x14ac:dyDescent="0.2">
      <c r="A194" s="18">
        <v>38</v>
      </c>
      <c r="B194" s="12" t="s">
        <v>173</v>
      </c>
      <c r="C194" s="12" t="s">
        <v>174</v>
      </c>
      <c r="D194" s="13">
        <v>1.47</v>
      </c>
      <c r="E194" s="99">
        <f t="shared" si="7"/>
        <v>0.68027210884353739</v>
      </c>
      <c r="F194" s="100">
        <v>0.73</v>
      </c>
    </row>
    <row r="195" spans="1:6" ht="15" customHeight="1" x14ac:dyDescent="0.2">
      <c r="A195" s="14">
        <v>39</v>
      </c>
      <c r="B195" s="12" t="s">
        <v>140</v>
      </c>
      <c r="C195" s="12" t="s">
        <v>141</v>
      </c>
      <c r="D195" s="13">
        <v>1.3</v>
      </c>
      <c r="E195" s="99">
        <f t="shared" si="7"/>
        <v>0.76923076923076916</v>
      </c>
      <c r="F195" s="100">
        <v>0.86</v>
      </c>
    </row>
    <row r="196" spans="1:6" ht="15" customHeight="1" x14ac:dyDescent="0.2">
      <c r="A196" s="14">
        <v>40</v>
      </c>
      <c r="B196" s="12" t="s">
        <v>142</v>
      </c>
      <c r="C196" s="12" t="s">
        <v>143</v>
      </c>
      <c r="D196" s="13">
        <v>1.2</v>
      </c>
      <c r="E196" s="99">
        <f t="shared" si="7"/>
        <v>0.83333333333333337</v>
      </c>
      <c r="F196" s="100">
        <v>0.95</v>
      </c>
    </row>
    <row r="197" spans="1:6" ht="15" customHeight="1" x14ac:dyDescent="0.2">
      <c r="A197" s="14">
        <v>41</v>
      </c>
      <c r="B197" s="12" t="s">
        <v>118</v>
      </c>
      <c r="C197" s="12" t="s">
        <v>144</v>
      </c>
      <c r="D197" s="13">
        <v>1.2</v>
      </c>
      <c r="E197" s="99">
        <f t="shared" si="7"/>
        <v>0.83333333333333337</v>
      </c>
      <c r="F197" s="100">
        <v>0.91</v>
      </c>
    </row>
    <row r="198" spans="1:6" ht="15" customHeight="1" x14ac:dyDescent="0.2">
      <c r="C198" s="15" t="s">
        <v>145</v>
      </c>
      <c r="D198" s="16">
        <f>ROUND(PRODUCT(D178:D197),2)</f>
        <v>194.29</v>
      </c>
      <c r="E198" s="101">
        <f>PRODUCT(E178:E197)</f>
        <v>5.146868341428976E-3</v>
      </c>
      <c r="F198" s="101">
        <f>PRODUCT(F178:F197)</f>
        <v>5.8752745797844445E-2</v>
      </c>
    </row>
    <row r="199" spans="1:6" ht="15" customHeight="1" x14ac:dyDescent="0.2">
      <c r="C199" s="15" t="s">
        <v>146</v>
      </c>
      <c r="D199" s="17">
        <f>D198*20</f>
        <v>3885.7999999999997</v>
      </c>
    </row>
    <row r="201" spans="1:6" ht="15" customHeight="1" x14ac:dyDescent="0.2">
      <c r="A201" s="162" t="s">
        <v>175</v>
      </c>
      <c r="B201" s="143"/>
      <c r="C201" s="143"/>
      <c r="D201" s="143"/>
      <c r="E201" s="143"/>
      <c r="F201" s="143"/>
    </row>
    <row r="202" spans="1:6" ht="15" customHeight="1" x14ac:dyDescent="0.2">
      <c r="A202" s="10" t="s">
        <v>102</v>
      </c>
      <c r="B202" s="10" t="s">
        <v>103</v>
      </c>
      <c r="C202" s="10" t="s">
        <v>104</v>
      </c>
      <c r="D202" s="10" t="s">
        <v>105</v>
      </c>
      <c r="E202" s="10" t="s">
        <v>106</v>
      </c>
      <c r="F202" s="10" t="s">
        <v>107</v>
      </c>
    </row>
    <row r="203" spans="1:6" ht="15" customHeight="1" x14ac:dyDescent="0.2">
      <c r="A203" s="14">
        <v>6</v>
      </c>
      <c r="B203" s="12" t="s">
        <v>114</v>
      </c>
      <c r="C203" s="12" t="s">
        <v>115</v>
      </c>
      <c r="D203" s="13">
        <v>1.1000000000000001</v>
      </c>
      <c r="E203" s="99">
        <f t="shared" ref="E203:E222" si="8">1/D203</f>
        <v>0.90909090909090906</v>
      </c>
      <c r="F203" s="100">
        <v>0.98</v>
      </c>
    </row>
    <row r="204" spans="1:6" ht="15" customHeight="1" x14ac:dyDescent="0.2">
      <c r="A204" s="18">
        <v>9</v>
      </c>
      <c r="B204" s="12" t="s">
        <v>134</v>
      </c>
      <c r="C204" s="12" t="s">
        <v>176</v>
      </c>
      <c r="D204" s="13">
        <v>1.47</v>
      </c>
      <c r="E204" s="99">
        <f t="shared" si="8"/>
        <v>0.68027210884353739</v>
      </c>
      <c r="F204" s="100">
        <v>0.71</v>
      </c>
    </row>
    <row r="205" spans="1:6" ht="15" customHeight="1" x14ac:dyDescent="0.2">
      <c r="A205" s="11">
        <v>11</v>
      </c>
      <c r="B205" s="12" t="s">
        <v>118</v>
      </c>
      <c r="C205" s="12" t="s">
        <v>119</v>
      </c>
      <c r="D205" s="13">
        <v>1.42</v>
      </c>
      <c r="E205" s="99">
        <f t="shared" si="8"/>
        <v>0.70422535211267612</v>
      </c>
      <c r="F205" s="100">
        <v>0.68</v>
      </c>
    </row>
    <row r="206" spans="1:6" ht="15" customHeight="1" x14ac:dyDescent="0.2">
      <c r="A206" s="11">
        <v>12</v>
      </c>
      <c r="B206" s="12" t="s">
        <v>120</v>
      </c>
      <c r="C206" s="12" t="s">
        <v>121</v>
      </c>
      <c r="D206" s="13">
        <v>1.34</v>
      </c>
      <c r="E206" s="99">
        <f t="shared" si="8"/>
        <v>0.74626865671641784</v>
      </c>
      <c r="F206" s="100">
        <v>0.82</v>
      </c>
    </row>
    <row r="207" spans="1:6" ht="15" customHeight="1" x14ac:dyDescent="0.2">
      <c r="A207" s="11">
        <v>14</v>
      </c>
      <c r="B207" s="12" t="s">
        <v>124</v>
      </c>
      <c r="C207" s="12" t="s">
        <v>125</v>
      </c>
      <c r="D207" s="13">
        <v>1.29</v>
      </c>
      <c r="E207" s="99">
        <f t="shared" si="8"/>
        <v>0.77519379844961234</v>
      </c>
      <c r="F207" s="100">
        <v>0.8</v>
      </c>
    </row>
    <row r="208" spans="1:6" ht="15" customHeight="1" x14ac:dyDescent="0.2">
      <c r="A208" s="11">
        <v>15</v>
      </c>
      <c r="B208" s="12" t="s">
        <v>150</v>
      </c>
      <c r="C208" s="12" t="s">
        <v>151</v>
      </c>
      <c r="D208" s="13">
        <v>1.42</v>
      </c>
      <c r="E208" s="99">
        <f t="shared" si="8"/>
        <v>0.70422535211267612</v>
      </c>
      <c r="F208" s="100">
        <v>0.92</v>
      </c>
    </row>
    <row r="209" spans="1:6" ht="15" customHeight="1" x14ac:dyDescent="0.2">
      <c r="A209" s="11">
        <v>16</v>
      </c>
      <c r="B209" s="12" t="s">
        <v>126</v>
      </c>
      <c r="C209" s="12" t="s">
        <v>127</v>
      </c>
      <c r="D209" s="13">
        <v>1.27</v>
      </c>
      <c r="E209" s="99">
        <f t="shared" si="8"/>
        <v>0.78740157480314954</v>
      </c>
      <c r="F209" s="100">
        <v>0.88</v>
      </c>
    </row>
    <row r="210" spans="1:6" ht="15" customHeight="1" x14ac:dyDescent="0.2">
      <c r="A210" s="11">
        <v>17</v>
      </c>
      <c r="B210" s="12" t="s">
        <v>128</v>
      </c>
      <c r="C210" s="12" t="s">
        <v>129</v>
      </c>
      <c r="D210" s="13">
        <v>1.17</v>
      </c>
      <c r="E210" s="99">
        <f t="shared" si="8"/>
        <v>0.85470085470085477</v>
      </c>
      <c r="F210" s="100">
        <v>0.76</v>
      </c>
    </row>
    <row r="211" spans="1:6" ht="15" customHeight="1" x14ac:dyDescent="0.2">
      <c r="A211" s="14">
        <v>20</v>
      </c>
      <c r="B211" s="12" t="s">
        <v>130</v>
      </c>
      <c r="C211" s="12" t="s">
        <v>131</v>
      </c>
      <c r="D211" s="13">
        <v>1.06</v>
      </c>
      <c r="E211" s="99">
        <f t="shared" si="8"/>
        <v>0.94339622641509424</v>
      </c>
      <c r="F211" s="100">
        <v>0.99</v>
      </c>
    </row>
    <row r="212" spans="1:6" ht="15" customHeight="1" x14ac:dyDescent="0.2">
      <c r="A212" s="11">
        <v>22</v>
      </c>
      <c r="B212" s="12" t="s">
        <v>161</v>
      </c>
      <c r="C212" s="12" t="s">
        <v>162</v>
      </c>
      <c r="D212" s="13">
        <v>1.2</v>
      </c>
      <c r="E212" s="99">
        <f t="shared" si="8"/>
        <v>0.83333333333333337</v>
      </c>
      <c r="F212" s="100">
        <v>0.83330000000000004</v>
      </c>
    </row>
    <row r="213" spans="1:6" ht="15" customHeight="1" x14ac:dyDescent="0.2">
      <c r="A213" s="11">
        <v>26</v>
      </c>
      <c r="B213" s="12" t="s">
        <v>155</v>
      </c>
      <c r="C213" s="12" t="s">
        <v>156</v>
      </c>
      <c r="D213" s="13">
        <v>1.19</v>
      </c>
      <c r="E213" s="99">
        <f t="shared" si="8"/>
        <v>0.84033613445378152</v>
      </c>
      <c r="F213" s="100">
        <v>0.87</v>
      </c>
    </row>
    <row r="214" spans="1:6" ht="15" customHeight="1" x14ac:dyDescent="0.2">
      <c r="A214" s="14">
        <v>28</v>
      </c>
      <c r="B214" s="12" t="s">
        <v>134</v>
      </c>
      <c r="C214" s="12" t="s">
        <v>135</v>
      </c>
      <c r="D214" s="13">
        <v>1.1200000000000001</v>
      </c>
      <c r="E214" s="99">
        <f t="shared" si="8"/>
        <v>0.89285714285714279</v>
      </c>
      <c r="F214" s="100">
        <v>0.96</v>
      </c>
    </row>
    <row r="215" spans="1:6" ht="15" customHeight="1" x14ac:dyDescent="0.2">
      <c r="A215" s="14">
        <v>30</v>
      </c>
      <c r="B215" s="12" t="s">
        <v>122</v>
      </c>
      <c r="C215" s="12" t="s">
        <v>136</v>
      </c>
      <c r="D215" s="13">
        <v>1.27</v>
      </c>
      <c r="E215" s="99">
        <f t="shared" si="8"/>
        <v>0.78740157480314954</v>
      </c>
      <c r="F215" s="100">
        <v>0.95</v>
      </c>
    </row>
    <row r="216" spans="1:6" ht="15" customHeight="1" x14ac:dyDescent="0.2">
      <c r="A216" s="11">
        <v>31</v>
      </c>
      <c r="B216" s="12" t="s">
        <v>142</v>
      </c>
      <c r="C216" s="12" t="s">
        <v>157</v>
      </c>
      <c r="D216" s="13">
        <v>1.32</v>
      </c>
      <c r="E216" s="99">
        <f t="shared" si="8"/>
        <v>0.75757575757575757</v>
      </c>
      <c r="F216" s="100">
        <v>0.82</v>
      </c>
    </row>
    <row r="217" spans="1:6" ht="15" customHeight="1" x14ac:dyDescent="0.2">
      <c r="A217" s="11">
        <v>32</v>
      </c>
      <c r="B217" s="12" t="s">
        <v>158</v>
      </c>
      <c r="C217" s="12" t="s">
        <v>159</v>
      </c>
      <c r="D217" s="13">
        <v>1.5</v>
      </c>
      <c r="E217" s="99">
        <f t="shared" si="8"/>
        <v>0.66666666666666663</v>
      </c>
      <c r="F217" s="100">
        <v>0.84</v>
      </c>
    </row>
    <row r="218" spans="1:6" ht="15" customHeight="1" x14ac:dyDescent="0.2">
      <c r="A218" s="14">
        <v>34</v>
      </c>
      <c r="B218" s="12" t="s">
        <v>130</v>
      </c>
      <c r="C218" s="12" t="s">
        <v>137</v>
      </c>
      <c r="D218" s="13">
        <v>1.4</v>
      </c>
      <c r="E218" s="99">
        <f t="shared" si="8"/>
        <v>0.7142857142857143</v>
      </c>
      <c r="F218" s="100">
        <v>0.92</v>
      </c>
    </row>
    <row r="219" spans="1:6" ht="15" customHeight="1" x14ac:dyDescent="0.2">
      <c r="A219" s="11">
        <v>36</v>
      </c>
      <c r="B219" s="12" t="s">
        <v>165</v>
      </c>
      <c r="C219" s="12" t="s">
        <v>166</v>
      </c>
      <c r="D219" s="13">
        <v>1.27</v>
      </c>
      <c r="E219" s="99">
        <f t="shared" si="8"/>
        <v>0.78740157480314954</v>
      </c>
      <c r="F219" s="100">
        <v>0.8</v>
      </c>
    </row>
    <row r="220" spans="1:6" ht="15" customHeight="1" x14ac:dyDescent="0.2">
      <c r="A220" s="11">
        <v>37</v>
      </c>
      <c r="B220" s="12" t="s">
        <v>167</v>
      </c>
      <c r="C220" s="12" t="s">
        <v>168</v>
      </c>
      <c r="D220" s="13">
        <v>1.34</v>
      </c>
      <c r="E220" s="99">
        <f t="shared" si="8"/>
        <v>0.74626865671641784</v>
      </c>
      <c r="F220" s="100">
        <v>0.84</v>
      </c>
    </row>
    <row r="221" spans="1:6" ht="15" customHeight="1" x14ac:dyDescent="0.2">
      <c r="A221" s="14">
        <v>39</v>
      </c>
      <c r="B221" s="12" t="s">
        <v>140</v>
      </c>
      <c r="C221" s="12" t="s">
        <v>141</v>
      </c>
      <c r="D221" s="13">
        <v>1.3</v>
      </c>
      <c r="E221" s="99">
        <f t="shared" si="8"/>
        <v>0.76923076923076916</v>
      </c>
      <c r="F221" s="100">
        <v>0.86</v>
      </c>
    </row>
    <row r="222" spans="1:6" ht="15" customHeight="1" x14ac:dyDescent="0.2">
      <c r="A222" s="14">
        <v>41</v>
      </c>
      <c r="B222" s="12" t="s">
        <v>118</v>
      </c>
      <c r="C222" s="12" t="s">
        <v>144</v>
      </c>
      <c r="D222" s="13">
        <v>1.2</v>
      </c>
      <c r="E222" s="99">
        <f t="shared" si="8"/>
        <v>0.83333333333333337</v>
      </c>
      <c r="F222" s="100">
        <v>0.91</v>
      </c>
    </row>
    <row r="223" spans="1:6" ht="15" customHeight="1" x14ac:dyDescent="0.2">
      <c r="C223" s="15" t="s">
        <v>145</v>
      </c>
      <c r="D223" s="16">
        <f>ROUND(PRODUCT(D203:D222),2)</f>
        <v>132.69</v>
      </c>
      <c r="E223" s="101">
        <f>PRODUCT(E203:E222)</f>
        <v>7.5361067212839031E-3</v>
      </c>
      <c r="F223" s="101">
        <f>PRODUCT(F203:F222)</f>
        <v>4.1660264030377557E-2</v>
      </c>
    </row>
    <row r="224" spans="1:6" ht="15" customHeight="1" x14ac:dyDescent="0.2">
      <c r="C224" s="15" t="s">
        <v>146</v>
      </c>
      <c r="D224" s="17">
        <f>D223*20</f>
        <v>2653.8</v>
      </c>
    </row>
    <row r="226" spans="1:6" ht="15" customHeight="1" x14ac:dyDescent="0.2">
      <c r="A226" s="162" t="s">
        <v>177</v>
      </c>
      <c r="B226" s="143"/>
      <c r="C226" s="143"/>
      <c r="D226" s="143"/>
      <c r="E226" s="143"/>
      <c r="F226" s="143"/>
    </row>
    <row r="227" spans="1:6" ht="15" customHeight="1" x14ac:dyDescent="0.2">
      <c r="A227" s="10" t="s">
        <v>102</v>
      </c>
      <c r="B227" s="10" t="s">
        <v>103</v>
      </c>
      <c r="C227" s="10" t="s">
        <v>104</v>
      </c>
      <c r="D227" s="10" t="s">
        <v>105</v>
      </c>
      <c r="E227" s="10" t="s">
        <v>106</v>
      </c>
      <c r="F227" s="10" t="s">
        <v>107</v>
      </c>
    </row>
    <row r="228" spans="1:6" ht="15" customHeight="1" x14ac:dyDescent="0.2">
      <c r="A228" s="11">
        <v>1</v>
      </c>
      <c r="B228" s="12" t="s">
        <v>148</v>
      </c>
      <c r="C228" s="12" t="s">
        <v>149</v>
      </c>
      <c r="D228" s="13">
        <v>1.45</v>
      </c>
      <c r="E228" s="99">
        <f t="shared" ref="E228:E247" si="9">1/D228</f>
        <v>0.68965517241379315</v>
      </c>
      <c r="F228" s="100">
        <v>0.75</v>
      </c>
    </row>
    <row r="229" spans="1:6" ht="15" customHeight="1" x14ac:dyDescent="0.2">
      <c r="A229" s="11">
        <v>2</v>
      </c>
      <c r="B229" s="12" t="s">
        <v>108</v>
      </c>
      <c r="C229" s="12" t="s">
        <v>109</v>
      </c>
      <c r="D229" s="13">
        <v>1.26</v>
      </c>
      <c r="E229" s="99">
        <f t="shared" si="9"/>
        <v>0.79365079365079361</v>
      </c>
      <c r="F229" s="100">
        <v>0.87</v>
      </c>
    </row>
    <row r="230" spans="1:6" ht="15" customHeight="1" x14ac:dyDescent="0.2">
      <c r="A230" s="18">
        <v>3</v>
      </c>
      <c r="B230" s="12" t="s">
        <v>178</v>
      </c>
      <c r="C230" s="12" t="s">
        <v>179</v>
      </c>
      <c r="D230" s="13">
        <v>1.47</v>
      </c>
      <c r="E230" s="99">
        <f t="shared" si="9"/>
        <v>0.68027210884353739</v>
      </c>
      <c r="F230" s="100">
        <v>0.65</v>
      </c>
    </row>
    <row r="231" spans="1:6" ht="15" customHeight="1" x14ac:dyDescent="0.2">
      <c r="A231" s="14">
        <v>5</v>
      </c>
      <c r="B231" s="12" t="s">
        <v>112</v>
      </c>
      <c r="C231" s="12" t="s">
        <v>113</v>
      </c>
      <c r="D231" s="13">
        <v>1.05</v>
      </c>
      <c r="E231" s="99">
        <f t="shared" si="9"/>
        <v>0.95238095238095233</v>
      </c>
      <c r="F231" s="100">
        <v>0.98</v>
      </c>
    </row>
    <row r="232" spans="1:6" ht="15" customHeight="1" x14ac:dyDescent="0.2">
      <c r="A232" s="18">
        <v>7</v>
      </c>
      <c r="B232" s="12" t="s">
        <v>180</v>
      </c>
      <c r="C232" s="12" t="s">
        <v>181</v>
      </c>
      <c r="D232" s="13">
        <v>1.19</v>
      </c>
      <c r="E232" s="99">
        <f t="shared" si="9"/>
        <v>0.84033613445378152</v>
      </c>
      <c r="F232" s="100">
        <v>0.77</v>
      </c>
    </row>
    <row r="233" spans="1:6" ht="15" customHeight="1" x14ac:dyDescent="0.2">
      <c r="A233" s="18">
        <v>8</v>
      </c>
      <c r="B233" s="12" t="s">
        <v>182</v>
      </c>
      <c r="C233" s="12" t="s">
        <v>183</v>
      </c>
      <c r="D233" s="13">
        <v>1.5</v>
      </c>
      <c r="E233" s="99">
        <f t="shared" si="9"/>
        <v>0.66666666666666663</v>
      </c>
      <c r="F233" s="100">
        <v>0.66669999999999996</v>
      </c>
    </row>
    <row r="234" spans="1:6" ht="15" customHeight="1" x14ac:dyDescent="0.2">
      <c r="A234" s="14">
        <v>10</v>
      </c>
      <c r="B234" s="12" t="s">
        <v>116</v>
      </c>
      <c r="C234" s="12" t="s">
        <v>117</v>
      </c>
      <c r="D234" s="13">
        <v>1.23</v>
      </c>
      <c r="E234" s="99">
        <f t="shared" si="9"/>
        <v>0.81300813008130079</v>
      </c>
      <c r="F234" s="100">
        <v>0.87</v>
      </c>
    </row>
    <row r="235" spans="1:6" ht="15" customHeight="1" x14ac:dyDescent="0.2">
      <c r="A235" s="14">
        <v>13</v>
      </c>
      <c r="B235" s="12" t="s">
        <v>122</v>
      </c>
      <c r="C235" s="12" t="s">
        <v>123</v>
      </c>
      <c r="D235" s="13">
        <v>1.28</v>
      </c>
      <c r="E235" s="99">
        <f t="shared" si="9"/>
        <v>0.78125</v>
      </c>
      <c r="F235" s="100">
        <v>0.85</v>
      </c>
    </row>
    <row r="236" spans="1:6" ht="15" customHeight="1" x14ac:dyDescent="0.2">
      <c r="A236" s="18">
        <v>18</v>
      </c>
      <c r="B236" s="12" t="s">
        <v>184</v>
      </c>
      <c r="C236" s="12" t="s">
        <v>185</v>
      </c>
      <c r="D236" s="13">
        <v>1.22</v>
      </c>
      <c r="E236" s="99">
        <f t="shared" si="9"/>
        <v>0.81967213114754101</v>
      </c>
      <c r="F236" s="100">
        <v>0.68</v>
      </c>
    </row>
    <row r="237" spans="1:6" ht="15" customHeight="1" x14ac:dyDescent="0.2">
      <c r="A237" s="11">
        <v>19</v>
      </c>
      <c r="B237" s="12" t="s">
        <v>138</v>
      </c>
      <c r="C237" s="12" t="s">
        <v>152</v>
      </c>
      <c r="D237" s="13">
        <v>2.0499999999999998</v>
      </c>
      <c r="E237" s="99">
        <f t="shared" si="9"/>
        <v>0.48780487804878053</v>
      </c>
      <c r="F237" s="100">
        <v>0.82</v>
      </c>
    </row>
    <row r="238" spans="1:6" ht="15" customHeight="1" x14ac:dyDescent="0.2">
      <c r="A238" s="14">
        <v>21</v>
      </c>
      <c r="B238" s="12" t="s">
        <v>132</v>
      </c>
      <c r="C238" s="12" t="s">
        <v>133</v>
      </c>
      <c r="D238" s="13">
        <v>1.27</v>
      </c>
      <c r="E238" s="99">
        <f t="shared" si="9"/>
        <v>0.78740157480314954</v>
      </c>
      <c r="F238" s="100">
        <v>0.95</v>
      </c>
    </row>
    <row r="239" spans="1:6" ht="15" customHeight="1" x14ac:dyDescent="0.2">
      <c r="A239" s="11">
        <v>23</v>
      </c>
      <c r="B239" s="12" t="s">
        <v>114</v>
      </c>
      <c r="C239" s="12" t="s">
        <v>154</v>
      </c>
      <c r="D239" s="13">
        <v>1.1299999999999999</v>
      </c>
      <c r="E239" s="99">
        <f t="shared" si="9"/>
        <v>0.88495575221238942</v>
      </c>
      <c r="F239" s="100">
        <v>0.88500000000000001</v>
      </c>
    </row>
    <row r="240" spans="1:6" ht="15" customHeight="1" x14ac:dyDescent="0.2">
      <c r="A240" s="11">
        <v>24</v>
      </c>
      <c r="B240" s="12" t="s">
        <v>140</v>
      </c>
      <c r="C240" s="12" t="s">
        <v>163</v>
      </c>
      <c r="D240" s="13">
        <v>1.47</v>
      </c>
      <c r="E240" s="99">
        <f t="shared" si="9"/>
        <v>0.68027210884353739</v>
      </c>
      <c r="F240" s="100">
        <v>0.73</v>
      </c>
    </row>
    <row r="241" spans="1:6" ht="15" customHeight="1" x14ac:dyDescent="0.2">
      <c r="A241" s="18">
        <v>25</v>
      </c>
      <c r="B241" s="12" t="s">
        <v>182</v>
      </c>
      <c r="C241" s="12" t="s">
        <v>186</v>
      </c>
      <c r="D241" s="13">
        <v>1.47</v>
      </c>
      <c r="E241" s="99">
        <f t="shared" si="9"/>
        <v>0.68027210884353739</v>
      </c>
      <c r="F241" s="100">
        <v>0.76</v>
      </c>
    </row>
    <row r="242" spans="1:6" ht="15" customHeight="1" x14ac:dyDescent="0.2">
      <c r="A242" s="11">
        <v>26</v>
      </c>
      <c r="B242" s="12" t="s">
        <v>155</v>
      </c>
      <c r="C242" s="12" t="s">
        <v>156</v>
      </c>
      <c r="D242" s="13">
        <v>1.19</v>
      </c>
      <c r="E242" s="99">
        <f t="shared" si="9"/>
        <v>0.84033613445378152</v>
      </c>
      <c r="F242" s="100">
        <v>0.87</v>
      </c>
    </row>
    <row r="243" spans="1:6" ht="15" customHeight="1" x14ac:dyDescent="0.2">
      <c r="A243" s="18">
        <v>27</v>
      </c>
      <c r="B243" s="12" t="s">
        <v>118</v>
      </c>
      <c r="C243" s="12" t="s">
        <v>187</v>
      </c>
      <c r="D243" s="13">
        <v>1.67</v>
      </c>
      <c r="E243" s="99">
        <f t="shared" si="9"/>
        <v>0.5988023952095809</v>
      </c>
      <c r="F243" s="100">
        <v>0.55000000000000004</v>
      </c>
    </row>
    <row r="244" spans="1:6" ht="15" customHeight="1" x14ac:dyDescent="0.2">
      <c r="A244" s="18">
        <v>29</v>
      </c>
      <c r="B244" s="12" t="s">
        <v>188</v>
      </c>
      <c r="C244" s="12" t="s">
        <v>189</v>
      </c>
      <c r="D244" s="13">
        <v>1.18</v>
      </c>
      <c r="E244" s="99">
        <f t="shared" si="9"/>
        <v>0.84745762711864414</v>
      </c>
      <c r="F244" s="100">
        <v>0.71</v>
      </c>
    </row>
    <row r="245" spans="1:6" ht="15" customHeight="1" x14ac:dyDescent="0.2">
      <c r="A245" s="11">
        <v>33</v>
      </c>
      <c r="B245" s="12" t="s">
        <v>150</v>
      </c>
      <c r="C245" s="12" t="s">
        <v>164</v>
      </c>
      <c r="D245" s="13">
        <v>1.52</v>
      </c>
      <c r="E245" s="99">
        <f t="shared" si="9"/>
        <v>0.65789473684210531</v>
      </c>
      <c r="F245" s="100">
        <v>0.75</v>
      </c>
    </row>
    <row r="246" spans="1:6" ht="15" customHeight="1" x14ac:dyDescent="0.2">
      <c r="A246" s="14">
        <v>35</v>
      </c>
      <c r="B246" s="12" t="s">
        <v>138</v>
      </c>
      <c r="C246" s="12" t="s">
        <v>139</v>
      </c>
      <c r="D246" s="13">
        <v>1.26</v>
      </c>
      <c r="E246" s="99">
        <f t="shared" si="9"/>
        <v>0.79365079365079361</v>
      </c>
      <c r="F246" s="100">
        <v>0.93</v>
      </c>
    </row>
    <row r="247" spans="1:6" ht="15" customHeight="1" x14ac:dyDescent="0.2">
      <c r="A247" s="14">
        <v>40</v>
      </c>
      <c r="B247" s="12" t="s">
        <v>142</v>
      </c>
      <c r="C247" s="12" t="s">
        <v>143</v>
      </c>
      <c r="D247" s="13">
        <v>1.2</v>
      </c>
      <c r="E247" s="99">
        <f t="shared" si="9"/>
        <v>0.83333333333333337</v>
      </c>
      <c r="F247" s="100">
        <v>0.95</v>
      </c>
    </row>
    <row r="248" spans="1:6" ht="15" customHeight="1" x14ac:dyDescent="0.2">
      <c r="C248" s="15" t="s">
        <v>145</v>
      </c>
      <c r="D248" s="16">
        <f>ROUND(PRODUCT(D228:D247),2)</f>
        <v>331.26</v>
      </c>
      <c r="E248" s="101">
        <f>PRODUCT(E228:E247)</f>
        <v>3.0187710236844485E-3</v>
      </c>
      <c r="F248" s="101">
        <f>PRODUCT(F228:F247)</f>
        <v>9.2387562379782993E-3</v>
      </c>
    </row>
    <row r="249" spans="1:6" ht="15" customHeight="1" x14ac:dyDescent="0.2">
      <c r="C249" s="15" t="s">
        <v>146</v>
      </c>
      <c r="D249" s="17">
        <f>D248*20</f>
        <v>6625.2</v>
      </c>
    </row>
    <row r="251" spans="1:6" ht="15" customHeight="1" x14ac:dyDescent="0.2">
      <c r="A251" s="162" t="s">
        <v>190</v>
      </c>
      <c r="B251" s="143"/>
      <c r="C251" s="143"/>
      <c r="D251" s="143"/>
      <c r="E251" s="143"/>
      <c r="F251" s="143"/>
    </row>
    <row r="252" spans="1:6" ht="15" customHeight="1" x14ac:dyDescent="0.2">
      <c r="A252" s="10" t="s">
        <v>102</v>
      </c>
      <c r="B252" s="10" t="s">
        <v>103</v>
      </c>
      <c r="C252" s="10" t="s">
        <v>104</v>
      </c>
      <c r="D252" s="10" t="s">
        <v>105</v>
      </c>
      <c r="E252" s="10" t="s">
        <v>106</v>
      </c>
      <c r="F252" s="10" t="s">
        <v>107</v>
      </c>
    </row>
    <row r="253" spans="1:6" ht="15" customHeight="1" x14ac:dyDescent="0.2">
      <c r="A253" s="11">
        <v>4</v>
      </c>
      <c r="B253" s="12" t="s">
        <v>110</v>
      </c>
      <c r="C253" s="12" t="s">
        <v>111</v>
      </c>
      <c r="D253" s="13">
        <v>1.8</v>
      </c>
      <c r="E253" s="99">
        <f t="shared" ref="E253:E272" si="10">1/D253</f>
        <v>0.55555555555555558</v>
      </c>
      <c r="F253" s="100">
        <v>0.78</v>
      </c>
    </row>
    <row r="254" spans="1:6" ht="15" customHeight="1" x14ac:dyDescent="0.2">
      <c r="A254" s="14">
        <v>5</v>
      </c>
      <c r="B254" s="12" t="s">
        <v>112</v>
      </c>
      <c r="C254" s="12" t="s">
        <v>113</v>
      </c>
      <c r="D254" s="13">
        <v>1.05</v>
      </c>
      <c r="E254" s="99">
        <f t="shared" si="10"/>
        <v>0.95238095238095233</v>
      </c>
      <c r="F254" s="100">
        <v>0.98</v>
      </c>
    </row>
    <row r="255" spans="1:6" ht="15" customHeight="1" x14ac:dyDescent="0.2">
      <c r="A255" s="14">
        <v>6</v>
      </c>
      <c r="B255" s="12" t="s">
        <v>114</v>
      </c>
      <c r="C255" s="12" t="s">
        <v>115</v>
      </c>
      <c r="D255" s="13">
        <v>1.1000000000000001</v>
      </c>
      <c r="E255" s="99">
        <f t="shared" si="10"/>
        <v>0.90909090909090906</v>
      </c>
      <c r="F255" s="100">
        <v>0.98</v>
      </c>
    </row>
    <row r="256" spans="1:6" ht="15" customHeight="1" x14ac:dyDescent="0.2">
      <c r="A256" s="18">
        <v>7</v>
      </c>
      <c r="B256" s="12" t="s">
        <v>180</v>
      </c>
      <c r="C256" s="12" t="s">
        <v>181</v>
      </c>
      <c r="D256" s="13">
        <v>1.19</v>
      </c>
      <c r="E256" s="99">
        <f t="shared" si="10"/>
        <v>0.84033613445378152</v>
      </c>
      <c r="F256" s="100">
        <v>0.77</v>
      </c>
    </row>
    <row r="257" spans="1:6" ht="15" customHeight="1" x14ac:dyDescent="0.2">
      <c r="A257" s="18">
        <v>8</v>
      </c>
      <c r="B257" s="12" t="s">
        <v>182</v>
      </c>
      <c r="C257" s="12" t="s">
        <v>183</v>
      </c>
      <c r="D257" s="13">
        <v>1.5</v>
      </c>
      <c r="E257" s="99">
        <f t="shared" si="10"/>
        <v>0.66666666666666663</v>
      </c>
      <c r="F257" s="100">
        <v>0.66669999999999996</v>
      </c>
    </row>
    <row r="258" spans="1:6" ht="15" customHeight="1" x14ac:dyDescent="0.2">
      <c r="A258" s="14">
        <v>10</v>
      </c>
      <c r="B258" s="12" t="s">
        <v>116</v>
      </c>
      <c r="C258" s="12" t="s">
        <v>117</v>
      </c>
      <c r="D258" s="13">
        <v>1.23</v>
      </c>
      <c r="E258" s="99">
        <f t="shared" si="10"/>
        <v>0.81300813008130079</v>
      </c>
      <c r="F258" s="100">
        <v>0.87</v>
      </c>
    </row>
    <row r="259" spans="1:6" ht="15" customHeight="1" x14ac:dyDescent="0.2">
      <c r="A259" s="11">
        <v>11</v>
      </c>
      <c r="B259" s="12" t="s">
        <v>118</v>
      </c>
      <c r="C259" s="12" t="s">
        <v>119</v>
      </c>
      <c r="D259" s="13">
        <v>1.42</v>
      </c>
      <c r="E259" s="99">
        <f t="shared" si="10"/>
        <v>0.70422535211267612</v>
      </c>
      <c r="F259" s="100">
        <v>0.68</v>
      </c>
    </row>
    <row r="260" spans="1:6" ht="15" customHeight="1" x14ac:dyDescent="0.2">
      <c r="A260" s="14">
        <v>13</v>
      </c>
      <c r="B260" s="12" t="s">
        <v>122</v>
      </c>
      <c r="C260" s="12" t="s">
        <v>123</v>
      </c>
      <c r="D260" s="13">
        <v>1.28</v>
      </c>
      <c r="E260" s="99">
        <f t="shared" si="10"/>
        <v>0.78125</v>
      </c>
      <c r="F260" s="100">
        <v>0.85</v>
      </c>
    </row>
    <row r="261" spans="1:6" ht="15" customHeight="1" x14ac:dyDescent="0.2">
      <c r="A261" s="11">
        <v>15</v>
      </c>
      <c r="B261" s="12" t="s">
        <v>150</v>
      </c>
      <c r="C261" s="12" t="s">
        <v>151</v>
      </c>
      <c r="D261" s="13">
        <v>1.42</v>
      </c>
      <c r="E261" s="99">
        <f t="shared" si="10"/>
        <v>0.70422535211267612</v>
      </c>
      <c r="F261" s="100">
        <v>0.92</v>
      </c>
    </row>
    <row r="262" spans="1:6" ht="15" customHeight="1" x14ac:dyDescent="0.2">
      <c r="A262" s="11">
        <v>16</v>
      </c>
      <c r="B262" s="12" t="s">
        <v>126</v>
      </c>
      <c r="C262" s="12" t="s">
        <v>127</v>
      </c>
      <c r="D262" s="13">
        <v>1.27</v>
      </c>
      <c r="E262" s="99">
        <f t="shared" si="10"/>
        <v>0.78740157480314954</v>
      </c>
      <c r="F262" s="100">
        <v>0.88</v>
      </c>
    </row>
    <row r="263" spans="1:6" ht="15" customHeight="1" x14ac:dyDescent="0.2">
      <c r="A263" s="18">
        <v>18</v>
      </c>
      <c r="B263" s="12" t="s">
        <v>184</v>
      </c>
      <c r="C263" s="12" t="s">
        <v>185</v>
      </c>
      <c r="D263" s="13">
        <v>1.22</v>
      </c>
      <c r="E263" s="99">
        <f t="shared" si="10"/>
        <v>0.81967213114754101</v>
      </c>
      <c r="F263" s="100">
        <v>0.68</v>
      </c>
    </row>
    <row r="264" spans="1:6" ht="15" customHeight="1" x14ac:dyDescent="0.2">
      <c r="A264" s="14">
        <v>21</v>
      </c>
      <c r="B264" s="12" t="s">
        <v>132</v>
      </c>
      <c r="C264" s="12" t="s">
        <v>133</v>
      </c>
      <c r="D264" s="13">
        <v>1.27</v>
      </c>
      <c r="E264" s="99">
        <f t="shared" si="10"/>
        <v>0.78740157480314954</v>
      </c>
      <c r="F264" s="100">
        <v>0.95</v>
      </c>
    </row>
    <row r="265" spans="1:6" ht="15" customHeight="1" x14ac:dyDescent="0.2">
      <c r="A265" s="11">
        <v>22</v>
      </c>
      <c r="B265" s="12" t="s">
        <v>161</v>
      </c>
      <c r="C265" s="12" t="s">
        <v>162</v>
      </c>
      <c r="D265" s="13">
        <v>1.2</v>
      </c>
      <c r="E265" s="99">
        <f t="shared" si="10"/>
        <v>0.83333333333333337</v>
      </c>
      <c r="F265" s="100">
        <v>0.83330000000000004</v>
      </c>
    </row>
    <row r="266" spans="1:6" ht="15" customHeight="1" x14ac:dyDescent="0.2">
      <c r="A266" s="11">
        <v>23</v>
      </c>
      <c r="B266" s="12" t="s">
        <v>114</v>
      </c>
      <c r="C266" s="12" t="s">
        <v>154</v>
      </c>
      <c r="D266" s="13">
        <v>1.1299999999999999</v>
      </c>
      <c r="E266" s="99">
        <f t="shared" si="10"/>
        <v>0.88495575221238942</v>
      </c>
      <c r="F266" s="100">
        <v>0.88500000000000001</v>
      </c>
    </row>
    <row r="267" spans="1:6" ht="15" customHeight="1" x14ac:dyDescent="0.2">
      <c r="A267" s="18">
        <v>25</v>
      </c>
      <c r="B267" s="12" t="s">
        <v>182</v>
      </c>
      <c r="C267" s="12" t="s">
        <v>186</v>
      </c>
      <c r="D267" s="13">
        <v>1.47</v>
      </c>
      <c r="E267" s="99">
        <f t="shared" si="10"/>
        <v>0.68027210884353739</v>
      </c>
      <c r="F267" s="100">
        <v>0.76</v>
      </c>
    </row>
    <row r="268" spans="1:6" ht="15" customHeight="1" x14ac:dyDescent="0.2">
      <c r="A268" s="18">
        <v>27</v>
      </c>
      <c r="B268" s="12" t="s">
        <v>118</v>
      </c>
      <c r="C268" s="12" t="s">
        <v>187</v>
      </c>
      <c r="D268" s="13">
        <v>1.67</v>
      </c>
      <c r="E268" s="99">
        <f t="shared" si="10"/>
        <v>0.5988023952095809</v>
      </c>
      <c r="F268" s="100">
        <v>0.55000000000000004</v>
      </c>
    </row>
    <row r="269" spans="1:6" ht="15" customHeight="1" x14ac:dyDescent="0.2">
      <c r="A269" s="18">
        <v>29</v>
      </c>
      <c r="B269" s="12" t="s">
        <v>188</v>
      </c>
      <c r="C269" s="12" t="s">
        <v>189</v>
      </c>
      <c r="D269" s="13">
        <v>1.18</v>
      </c>
      <c r="E269" s="99">
        <f t="shared" si="10"/>
        <v>0.84745762711864414</v>
      </c>
      <c r="F269" s="100">
        <v>0.71</v>
      </c>
    </row>
    <row r="270" spans="1:6" ht="15" customHeight="1" x14ac:dyDescent="0.2">
      <c r="A270" s="11">
        <v>33</v>
      </c>
      <c r="B270" s="12" t="s">
        <v>150</v>
      </c>
      <c r="C270" s="12" t="s">
        <v>164</v>
      </c>
      <c r="D270" s="13">
        <v>1.52</v>
      </c>
      <c r="E270" s="99">
        <f t="shared" si="10"/>
        <v>0.65789473684210531</v>
      </c>
      <c r="F270" s="100">
        <v>0.75</v>
      </c>
    </row>
    <row r="271" spans="1:6" ht="15" customHeight="1" x14ac:dyDescent="0.2">
      <c r="A271" s="18">
        <v>38</v>
      </c>
      <c r="B271" s="12" t="s">
        <v>173</v>
      </c>
      <c r="C271" s="12" t="s">
        <v>174</v>
      </c>
      <c r="D271" s="13">
        <v>1.47</v>
      </c>
      <c r="E271" s="99">
        <f t="shared" si="10"/>
        <v>0.68027210884353739</v>
      </c>
      <c r="F271" s="100">
        <v>0.73</v>
      </c>
    </row>
    <row r="272" spans="1:6" ht="15" customHeight="1" x14ac:dyDescent="0.2">
      <c r="A272" s="14">
        <v>40</v>
      </c>
      <c r="B272" s="12" t="s">
        <v>142</v>
      </c>
      <c r="C272" s="12" t="s">
        <v>143</v>
      </c>
      <c r="D272" s="13">
        <v>1.2</v>
      </c>
      <c r="E272" s="99">
        <f t="shared" si="10"/>
        <v>0.83333333333333337</v>
      </c>
      <c r="F272" s="100">
        <v>0.95</v>
      </c>
    </row>
    <row r="273" spans="1:6" ht="15" customHeight="1" x14ac:dyDescent="0.2">
      <c r="C273" s="15" t="s">
        <v>145</v>
      </c>
      <c r="D273" s="16">
        <f>ROUND(PRODUCT(D253:D272),2)</f>
        <v>244.16</v>
      </c>
      <c r="E273" s="101">
        <f>PRODUCT(E253:E272)</f>
        <v>4.0957229938201967E-3</v>
      </c>
      <c r="F273" s="101">
        <f>PRODUCT(F253:F272)</f>
        <v>1.1513438744859208E-2</v>
      </c>
    </row>
    <row r="274" spans="1:6" ht="15" customHeight="1" x14ac:dyDescent="0.2">
      <c r="C274" s="15" t="s">
        <v>146</v>
      </c>
      <c r="D274" s="17">
        <f>D273*20</f>
        <v>4883.2</v>
      </c>
    </row>
    <row r="276" spans="1:6" ht="15" customHeight="1" x14ac:dyDescent="0.2">
      <c r="A276" s="162" t="s">
        <v>191</v>
      </c>
      <c r="B276" s="143"/>
      <c r="C276" s="143"/>
      <c r="D276" s="143"/>
      <c r="E276" s="143"/>
      <c r="F276" s="143"/>
    </row>
    <row r="277" spans="1:6" ht="15" customHeight="1" x14ac:dyDescent="0.2">
      <c r="A277" s="10" t="s">
        <v>102</v>
      </c>
      <c r="B277" s="10" t="s">
        <v>103</v>
      </c>
      <c r="C277" s="10" t="s">
        <v>104</v>
      </c>
      <c r="D277" s="10" t="s">
        <v>105</v>
      </c>
      <c r="E277" s="10" t="s">
        <v>106</v>
      </c>
      <c r="F277" s="10" t="s">
        <v>107</v>
      </c>
    </row>
    <row r="278" spans="1:6" ht="15" customHeight="1" x14ac:dyDescent="0.2">
      <c r="A278" s="11">
        <v>1</v>
      </c>
      <c r="B278" s="12" t="s">
        <v>148</v>
      </c>
      <c r="C278" s="12" t="s">
        <v>149</v>
      </c>
      <c r="D278" s="13">
        <v>1.45</v>
      </c>
      <c r="E278" s="99">
        <f t="shared" ref="E278:E297" si="11">1/D278</f>
        <v>0.68965517241379315</v>
      </c>
      <c r="F278" s="100">
        <v>0.75</v>
      </c>
    </row>
    <row r="279" spans="1:6" ht="15" customHeight="1" x14ac:dyDescent="0.2">
      <c r="A279" s="11">
        <v>2</v>
      </c>
      <c r="B279" s="12" t="s">
        <v>108</v>
      </c>
      <c r="C279" s="12" t="s">
        <v>109</v>
      </c>
      <c r="D279" s="13">
        <v>1.26</v>
      </c>
      <c r="E279" s="99">
        <f t="shared" si="11"/>
        <v>0.79365079365079361</v>
      </c>
      <c r="F279" s="100">
        <v>0.87</v>
      </c>
    </row>
    <row r="280" spans="1:6" ht="15" customHeight="1" x14ac:dyDescent="0.2">
      <c r="A280" s="18">
        <v>3</v>
      </c>
      <c r="B280" s="12" t="s">
        <v>178</v>
      </c>
      <c r="C280" s="12" t="s">
        <v>179</v>
      </c>
      <c r="D280" s="13">
        <v>1.47</v>
      </c>
      <c r="E280" s="99">
        <f t="shared" si="11"/>
        <v>0.68027210884353739</v>
      </c>
      <c r="F280" s="100">
        <v>0.65</v>
      </c>
    </row>
    <row r="281" spans="1:6" ht="15" customHeight="1" x14ac:dyDescent="0.2">
      <c r="A281" s="18">
        <v>9</v>
      </c>
      <c r="B281" s="12" t="s">
        <v>134</v>
      </c>
      <c r="C281" s="12" t="s">
        <v>176</v>
      </c>
      <c r="D281" s="13">
        <v>1.47</v>
      </c>
      <c r="E281" s="99">
        <f t="shared" si="11"/>
        <v>0.68027210884353739</v>
      </c>
      <c r="F281" s="100">
        <v>0.71</v>
      </c>
    </row>
    <row r="282" spans="1:6" ht="15" customHeight="1" x14ac:dyDescent="0.2">
      <c r="A282" s="11">
        <v>12</v>
      </c>
      <c r="B282" s="12" t="s">
        <v>120</v>
      </c>
      <c r="C282" s="12" t="s">
        <v>121</v>
      </c>
      <c r="D282" s="13">
        <v>1.34</v>
      </c>
      <c r="E282" s="99">
        <f t="shared" si="11"/>
        <v>0.74626865671641784</v>
      </c>
      <c r="F282" s="100">
        <v>0.82</v>
      </c>
    </row>
    <row r="283" spans="1:6" ht="15" customHeight="1" x14ac:dyDescent="0.2">
      <c r="A283" s="11">
        <v>14</v>
      </c>
      <c r="B283" s="12" t="s">
        <v>124</v>
      </c>
      <c r="C283" s="12" t="s">
        <v>125</v>
      </c>
      <c r="D283" s="13">
        <v>1.29</v>
      </c>
      <c r="E283" s="99">
        <f t="shared" si="11"/>
        <v>0.77519379844961234</v>
      </c>
      <c r="F283" s="100">
        <v>0.8</v>
      </c>
    </row>
    <row r="284" spans="1:6" ht="15" customHeight="1" x14ac:dyDescent="0.2">
      <c r="A284" s="11">
        <v>17</v>
      </c>
      <c r="B284" s="12" t="s">
        <v>128</v>
      </c>
      <c r="C284" s="12" t="s">
        <v>129</v>
      </c>
      <c r="D284" s="13">
        <v>1.17</v>
      </c>
      <c r="E284" s="99">
        <f t="shared" si="11"/>
        <v>0.85470085470085477</v>
      </c>
      <c r="F284" s="100">
        <v>0.76</v>
      </c>
    </row>
    <row r="285" spans="1:6" ht="15" customHeight="1" x14ac:dyDescent="0.2">
      <c r="A285" s="11">
        <v>19</v>
      </c>
      <c r="B285" s="12" t="s">
        <v>138</v>
      </c>
      <c r="C285" s="12" t="s">
        <v>152</v>
      </c>
      <c r="D285" s="13">
        <v>2.0499999999999998</v>
      </c>
      <c r="E285" s="99">
        <f t="shared" si="11"/>
        <v>0.48780487804878053</v>
      </c>
      <c r="F285" s="100">
        <v>0.82</v>
      </c>
    </row>
    <row r="286" spans="1:6" ht="15" customHeight="1" x14ac:dyDescent="0.2">
      <c r="A286" s="14">
        <v>20</v>
      </c>
      <c r="B286" s="12" t="s">
        <v>130</v>
      </c>
      <c r="C286" s="12" t="s">
        <v>131</v>
      </c>
      <c r="D286" s="13">
        <v>1.06</v>
      </c>
      <c r="E286" s="99">
        <f t="shared" si="11"/>
        <v>0.94339622641509424</v>
      </c>
      <c r="F286" s="100">
        <v>0.99</v>
      </c>
    </row>
    <row r="287" spans="1:6" ht="15" customHeight="1" x14ac:dyDescent="0.2">
      <c r="A287" s="11">
        <v>24</v>
      </c>
      <c r="B287" s="12" t="s">
        <v>140</v>
      </c>
      <c r="C287" s="12" t="s">
        <v>163</v>
      </c>
      <c r="D287" s="13">
        <v>1.47</v>
      </c>
      <c r="E287" s="99">
        <f t="shared" si="11"/>
        <v>0.68027210884353739</v>
      </c>
      <c r="F287" s="100">
        <v>0.73</v>
      </c>
    </row>
    <row r="288" spans="1:6" ht="15" customHeight="1" x14ac:dyDescent="0.2">
      <c r="A288" s="14">
        <v>28</v>
      </c>
      <c r="B288" s="12" t="s">
        <v>134</v>
      </c>
      <c r="C288" s="12" t="s">
        <v>135</v>
      </c>
      <c r="D288" s="13">
        <v>1.1200000000000001</v>
      </c>
      <c r="E288" s="99">
        <f t="shared" si="11"/>
        <v>0.89285714285714279</v>
      </c>
      <c r="F288" s="100">
        <v>0.96</v>
      </c>
    </row>
    <row r="289" spans="1:6" ht="15" customHeight="1" x14ac:dyDescent="0.2">
      <c r="A289" s="14">
        <v>30</v>
      </c>
      <c r="B289" s="12" t="s">
        <v>122</v>
      </c>
      <c r="C289" s="12" t="s">
        <v>136</v>
      </c>
      <c r="D289" s="13">
        <v>1.27</v>
      </c>
      <c r="E289" s="99">
        <f t="shared" si="11"/>
        <v>0.78740157480314954</v>
      </c>
      <c r="F289" s="100">
        <v>0.95</v>
      </c>
    </row>
    <row r="290" spans="1:6" ht="15" customHeight="1" x14ac:dyDescent="0.2">
      <c r="A290" s="11">
        <v>31</v>
      </c>
      <c r="B290" s="12" t="s">
        <v>142</v>
      </c>
      <c r="C290" s="12" t="s">
        <v>157</v>
      </c>
      <c r="D290" s="13">
        <v>1.32</v>
      </c>
      <c r="E290" s="99">
        <f t="shared" si="11"/>
        <v>0.75757575757575757</v>
      </c>
      <c r="F290" s="100">
        <v>0.82</v>
      </c>
    </row>
    <row r="291" spans="1:6" ht="15" customHeight="1" x14ac:dyDescent="0.2">
      <c r="A291" s="11">
        <v>32</v>
      </c>
      <c r="B291" s="12" t="s">
        <v>158</v>
      </c>
      <c r="C291" s="12" t="s">
        <v>159</v>
      </c>
      <c r="D291" s="13">
        <v>1.5</v>
      </c>
      <c r="E291" s="99">
        <f t="shared" si="11"/>
        <v>0.66666666666666663</v>
      </c>
      <c r="F291" s="100">
        <v>0.84</v>
      </c>
    </row>
    <row r="292" spans="1:6" ht="15" customHeight="1" x14ac:dyDescent="0.2">
      <c r="A292" s="14">
        <v>34</v>
      </c>
      <c r="B292" s="12" t="s">
        <v>130</v>
      </c>
      <c r="C292" s="12" t="s">
        <v>137</v>
      </c>
      <c r="D292" s="13">
        <v>1.4</v>
      </c>
      <c r="E292" s="99">
        <f t="shared" si="11"/>
        <v>0.7142857142857143</v>
      </c>
      <c r="F292" s="100">
        <v>0.92</v>
      </c>
    </row>
    <row r="293" spans="1:6" ht="15" customHeight="1" x14ac:dyDescent="0.2">
      <c r="A293" s="14">
        <v>35</v>
      </c>
      <c r="B293" s="12" t="s">
        <v>138</v>
      </c>
      <c r="C293" s="12" t="s">
        <v>139</v>
      </c>
      <c r="D293" s="13">
        <v>1.26</v>
      </c>
      <c r="E293" s="99">
        <f t="shared" si="11"/>
        <v>0.79365079365079361</v>
      </c>
      <c r="F293" s="100">
        <v>0.93</v>
      </c>
    </row>
    <row r="294" spans="1:6" ht="15" customHeight="1" x14ac:dyDescent="0.2">
      <c r="A294" s="11">
        <v>36</v>
      </c>
      <c r="B294" s="12" t="s">
        <v>165</v>
      </c>
      <c r="C294" s="12" t="s">
        <v>166</v>
      </c>
      <c r="D294" s="13">
        <v>1.27</v>
      </c>
      <c r="E294" s="99">
        <f t="shared" si="11"/>
        <v>0.78740157480314954</v>
      </c>
      <c r="F294" s="100">
        <v>0.8</v>
      </c>
    </row>
    <row r="295" spans="1:6" ht="15" customHeight="1" x14ac:dyDescent="0.2">
      <c r="A295" s="11">
        <v>37</v>
      </c>
      <c r="B295" s="12" t="s">
        <v>167</v>
      </c>
      <c r="C295" s="12" t="s">
        <v>168</v>
      </c>
      <c r="D295" s="13">
        <v>1.34</v>
      </c>
      <c r="E295" s="99">
        <f t="shared" si="11"/>
        <v>0.74626865671641784</v>
      </c>
      <c r="F295" s="100">
        <v>0.84</v>
      </c>
    </row>
    <row r="296" spans="1:6" ht="15" customHeight="1" x14ac:dyDescent="0.2">
      <c r="A296" s="14">
        <v>39</v>
      </c>
      <c r="B296" s="12" t="s">
        <v>140</v>
      </c>
      <c r="C296" s="12" t="s">
        <v>141</v>
      </c>
      <c r="D296" s="13">
        <v>1.3</v>
      </c>
      <c r="E296" s="99">
        <f t="shared" si="11"/>
        <v>0.76923076923076916</v>
      </c>
      <c r="F296" s="100">
        <v>0.86</v>
      </c>
    </row>
    <row r="297" spans="1:6" ht="15" customHeight="1" x14ac:dyDescent="0.2">
      <c r="A297" s="14">
        <v>41</v>
      </c>
      <c r="B297" s="12" t="s">
        <v>118</v>
      </c>
      <c r="C297" s="12" t="s">
        <v>144</v>
      </c>
      <c r="D297" s="13">
        <v>1.2</v>
      </c>
      <c r="E297" s="99">
        <f t="shared" si="11"/>
        <v>0.83333333333333337</v>
      </c>
      <c r="F297" s="100">
        <v>0.91</v>
      </c>
    </row>
    <row r="298" spans="1:6" ht="15" customHeight="1" x14ac:dyDescent="0.2">
      <c r="C298" s="15" t="s">
        <v>145</v>
      </c>
      <c r="D298" s="16">
        <f>ROUND(PRODUCT(D278:D297),2)</f>
        <v>336.39</v>
      </c>
      <c r="E298" s="101">
        <f>PRODUCT(E278:E297)</f>
        <v>2.9726975097103107E-3</v>
      </c>
      <c r="F298" s="101">
        <f>PRODUCT(F278:F297)</f>
        <v>2.5148346146114279E-2</v>
      </c>
    </row>
    <row r="299" spans="1:6" ht="15" customHeight="1" x14ac:dyDescent="0.2">
      <c r="C299" s="15" t="s">
        <v>146</v>
      </c>
      <c r="D299" s="17">
        <f>D298*20</f>
        <v>6727.7999999999993</v>
      </c>
    </row>
  </sheetData>
  <mergeCells count="12">
    <mergeCell ref="A1:F1"/>
    <mergeCell ref="A101:F101"/>
    <mergeCell ref="A126:F126"/>
    <mergeCell ref="A26:F26"/>
    <mergeCell ref="A276:F276"/>
    <mergeCell ref="A176:F176"/>
    <mergeCell ref="A201:F201"/>
    <mergeCell ref="A226:F226"/>
    <mergeCell ref="A51:F51"/>
    <mergeCell ref="A251:F251"/>
    <mergeCell ref="A151:F151"/>
    <mergeCell ref="A76:F7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3"/>
  <sheetViews>
    <sheetView tabSelected="1" zoomScale="115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43" sqref="J43"/>
    </sheetView>
  </sheetViews>
  <sheetFormatPr baseColWidth="10" defaultColWidth="8.6640625" defaultRowHeight="15" x14ac:dyDescent="0.2"/>
  <cols>
    <col min="1" max="1" width="5" customWidth="1"/>
    <col min="2" max="2" width="24" customWidth="1"/>
    <col min="3" max="3" width="5" customWidth="1"/>
  </cols>
  <sheetData>
    <row r="1" spans="1:14" ht="15" customHeight="1" x14ac:dyDescent="0.2">
      <c r="A1" s="9" t="s">
        <v>192</v>
      </c>
    </row>
    <row r="2" spans="1:14" ht="15" customHeight="1" x14ac:dyDescent="0.2">
      <c r="A2" s="6" t="s">
        <v>102</v>
      </c>
      <c r="B2" s="6" t="s">
        <v>103</v>
      </c>
      <c r="C2" s="6" t="s">
        <v>193</v>
      </c>
      <c r="D2" s="6" t="s">
        <v>194</v>
      </c>
      <c r="E2" s="211" t="s">
        <v>195</v>
      </c>
      <c r="F2" s="6" t="s">
        <v>196</v>
      </c>
      <c r="G2" s="6" t="s">
        <v>197</v>
      </c>
      <c r="H2" s="6" t="s">
        <v>198</v>
      </c>
      <c r="I2" s="211" t="s">
        <v>199</v>
      </c>
      <c r="J2" s="6" t="s">
        <v>200</v>
      </c>
      <c r="K2" s="6" t="s">
        <v>201</v>
      </c>
      <c r="L2" s="6" t="s">
        <v>202</v>
      </c>
      <c r="M2" s="6" t="s">
        <v>203</v>
      </c>
      <c r="N2" s="6" t="s">
        <v>204</v>
      </c>
    </row>
    <row r="3" spans="1:14" ht="15" customHeight="1" x14ac:dyDescent="0.2">
      <c r="A3" s="8">
        <v>1</v>
      </c>
      <c r="B3" s="19" t="s">
        <v>148</v>
      </c>
      <c r="C3" s="8"/>
      <c r="D3" s="20" t="s">
        <v>205</v>
      </c>
      <c r="E3" s="8"/>
      <c r="F3" s="20" t="s">
        <v>205</v>
      </c>
      <c r="G3" s="8"/>
      <c r="H3" s="20" t="s">
        <v>205</v>
      </c>
      <c r="I3" s="20"/>
      <c r="J3" s="8"/>
      <c r="K3" s="8"/>
      <c r="L3" s="20" t="s">
        <v>205</v>
      </c>
      <c r="M3" s="8"/>
      <c r="N3" s="20" t="s">
        <v>205</v>
      </c>
    </row>
    <row r="4" spans="1:14" ht="15" customHeight="1" x14ac:dyDescent="0.2">
      <c r="A4" s="8">
        <v>2</v>
      </c>
      <c r="B4" s="19" t="s">
        <v>108</v>
      </c>
      <c r="C4" s="20" t="s">
        <v>205</v>
      </c>
      <c r="D4" s="20" t="s">
        <v>205</v>
      </c>
      <c r="E4" s="8"/>
      <c r="F4" s="8"/>
      <c r="G4" s="20" t="s">
        <v>205</v>
      </c>
      <c r="H4" s="8"/>
      <c r="I4" s="20" t="s">
        <v>205</v>
      </c>
      <c r="J4" s="8"/>
      <c r="K4" s="8"/>
      <c r="L4" s="20" t="s">
        <v>205</v>
      </c>
      <c r="M4" s="8"/>
      <c r="N4" s="20" t="s">
        <v>205</v>
      </c>
    </row>
    <row r="5" spans="1:14" ht="15" customHeight="1" x14ac:dyDescent="0.2">
      <c r="A5" s="8">
        <v>3</v>
      </c>
      <c r="B5" s="21" t="s">
        <v>178</v>
      </c>
      <c r="C5" s="8"/>
      <c r="D5" s="8"/>
      <c r="E5" s="8"/>
      <c r="F5" s="8"/>
      <c r="G5" s="8"/>
      <c r="H5" s="8"/>
      <c r="I5" s="8"/>
      <c r="J5" s="8"/>
      <c r="K5" s="8"/>
      <c r="L5" s="20" t="s">
        <v>205</v>
      </c>
      <c r="M5" s="8"/>
      <c r="N5" s="20" t="s">
        <v>205</v>
      </c>
    </row>
    <row r="6" spans="1:14" ht="15" customHeight="1" x14ac:dyDescent="0.2">
      <c r="A6" s="8">
        <v>4</v>
      </c>
      <c r="B6" s="19" t="s">
        <v>110</v>
      </c>
      <c r="C6" s="20" t="s">
        <v>205</v>
      </c>
      <c r="D6" s="20" t="s">
        <v>205</v>
      </c>
      <c r="E6" s="212" t="s">
        <v>579</v>
      </c>
      <c r="F6" s="8"/>
      <c r="G6" s="8"/>
      <c r="H6" s="20" t="s">
        <v>205</v>
      </c>
      <c r="I6" s="20" t="s">
        <v>205</v>
      </c>
      <c r="J6" s="20" t="s">
        <v>205</v>
      </c>
      <c r="K6" s="8"/>
      <c r="L6" s="8"/>
      <c r="M6" s="20" t="s">
        <v>205</v>
      </c>
      <c r="N6" s="8"/>
    </row>
    <row r="7" spans="1:14" ht="15" customHeight="1" x14ac:dyDescent="0.2">
      <c r="A7" s="8">
        <v>5</v>
      </c>
      <c r="B7" s="22" t="s">
        <v>112</v>
      </c>
      <c r="C7" s="20" t="s">
        <v>205</v>
      </c>
      <c r="D7" s="20" t="s">
        <v>205</v>
      </c>
      <c r="E7" s="20" t="s">
        <v>205</v>
      </c>
      <c r="F7" s="20" t="s">
        <v>205</v>
      </c>
      <c r="G7" s="20" t="s">
        <v>205</v>
      </c>
      <c r="H7" s="8"/>
      <c r="I7" s="20" t="s">
        <v>205</v>
      </c>
      <c r="J7" s="20" t="s">
        <v>205</v>
      </c>
      <c r="K7" s="8"/>
      <c r="L7" s="20" t="s">
        <v>205</v>
      </c>
      <c r="M7" s="20" t="s">
        <v>205</v>
      </c>
      <c r="N7" s="8"/>
    </row>
    <row r="8" spans="1:14" ht="15" customHeight="1" x14ac:dyDescent="0.2">
      <c r="A8" s="8">
        <v>6</v>
      </c>
      <c r="B8" s="22" t="s">
        <v>114</v>
      </c>
      <c r="C8" s="20" t="s">
        <v>205</v>
      </c>
      <c r="D8" s="20" t="s">
        <v>205</v>
      </c>
      <c r="E8" s="20" t="s">
        <v>205</v>
      </c>
      <c r="F8" s="20" t="s">
        <v>205</v>
      </c>
      <c r="G8" s="20" t="s">
        <v>205</v>
      </c>
      <c r="H8" s="20" t="s">
        <v>205</v>
      </c>
      <c r="I8" s="8"/>
      <c r="J8" s="20" t="s">
        <v>205</v>
      </c>
      <c r="K8" s="20" t="s">
        <v>205</v>
      </c>
      <c r="L8" s="8"/>
      <c r="M8" s="20" t="s">
        <v>205</v>
      </c>
      <c r="N8" s="8"/>
    </row>
    <row r="9" spans="1:14" ht="15" customHeight="1" x14ac:dyDescent="0.2">
      <c r="A9" s="8">
        <v>7</v>
      </c>
      <c r="B9" s="21" t="s">
        <v>180</v>
      </c>
      <c r="C9" s="8"/>
      <c r="D9" s="8"/>
      <c r="E9" s="8"/>
      <c r="F9" s="8"/>
      <c r="G9" s="8"/>
      <c r="H9" s="8"/>
      <c r="I9" s="8"/>
      <c r="J9" s="8"/>
      <c r="K9" s="8"/>
      <c r="L9" s="20" t="s">
        <v>205</v>
      </c>
      <c r="M9" s="20" t="s">
        <v>205</v>
      </c>
      <c r="N9" s="8"/>
    </row>
    <row r="10" spans="1:14" ht="15" customHeight="1" x14ac:dyDescent="0.2">
      <c r="A10" s="8">
        <v>8</v>
      </c>
      <c r="B10" s="21" t="s">
        <v>182</v>
      </c>
      <c r="C10" s="8"/>
      <c r="D10" s="8"/>
      <c r="E10" s="8"/>
      <c r="F10" s="8"/>
      <c r="G10" s="8"/>
      <c r="H10" s="8"/>
      <c r="I10" s="8"/>
      <c r="J10" s="8"/>
      <c r="K10" s="8"/>
      <c r="L10" s="20" t="s">
        <v>205</v>
      </c>
      <c r="M10" s="20" t="s">
        <v>205</v>
      </c>
      <c r="N10" s="8"/>
    </row>
    <row r="11" spans="1:14" ht="15" customHeight="1" x14ac:dyDescent="0.2">
      <c r="A11" s="8">
        <v>9</v>
      </c>
      <c r="B11" s="21" t="s">
        <v>134</v>
      </c>
      <c r="C11" s="8"/>
      <c r="D11" s="8"/>
      <c r="E11" s="8"/>
      <c r="F11" s="8"/>
      <c r="G11" s="8"/>
      <c r="H11" s="8"/>
      <c r="I11" s="8"/>
      <c r="J11" s="8"/>
      <c r="K11" s="20" t="s">
        <v>205</v>
      </c>
      <c r="L11" s="8"/>
      <c r="M11" s="8"/>
      <c r="N11" s="20" t="s">
        <v>205</v>
      </c>
    </row>
    <row r="12" spans="1:14" ht="15" customHeight="1" x14ac:dyDescent="0.2">
      <c r="A12" s="8">
        <v>10</v>
      </c>
      <c r="B12" s="22" t="s">
        <v>116</v>
      </c>
      <c r="C12" s="20" t="s">
        <v>205</v>
      </c>
      <c r="D12" s="20" t="s">
        <v>205</v>
      </c>
      <c r="E12" s="20" t="s">
        <v>205</v>
      </c>
      <c r="F12" s="20" t="s">
        <v>205</v>
      </c>
      <c r="G12" s="20" t="s">
        <v>205</v>
      </c>
      <c r="H12" s="8"/>
      <c r="I12" s="20" t="s">
        <v>205</v>
      </c>
      <c r="J12" s="20" t="s">
        <v>205</v>
      </c>
      <c r="K12" s="8"/>
      <c r="L12" s="20" t="s">
        <v>205</v>
      </c>
      <c r="M12" s="20" t="s">
        <v>205</v>
      </c>
      <c r="N12" s="8"/>
    </row>
    <row r="13" spans="1:14" ht="15" customHeight="1" x14ac:dyDescent="0.2">
      <c r="A13" s="8">
        <v>11</v>
      </c>
      <c r="B13" s="19" t="s">
        <v>118</v>
      </c>
      <c r="C13" s="20" t="s">
        <v>205</v>
      </c>
      <c r="D13" s="20" t="s">
        <v>205</v>
      </c>
      <c r="E13" s="8"/>
      <c r="F13" s="8"/>
      <c r="G13" s="8"/>
      <c r="H13" s="8"/>
      <c r="I13" s="20" t="s">
        <v>205</v>
      </c>
      <c r="J13" s="20" t="s">
        <v>205</v>
      </c>
      <c r="K13" s="20" t="s">
        <v>205</v>
      </c>
      <c r="L13" s="8"/>
      <c r="M13" s="20" t="s">
        <v>205</v>
      </c>
      <c r="N13" s="8"/>
    </row>
    <row r="14" spans="1:14" ht="15" customHeight="1" x14ac:dyDescent="0.2">
      <c r="A14" s="8">
        <v>12</v>
      </c>
      <c r="B14" s="19" t="s">
        <v>120</v>
      </c>
      <c r="C14" s="20" t="s">
        <v>205</v>
      </c>
      <c r="D14" s="8"/>
      <c r="E14" s="20" t="s">
        <v>205</v>
      </c>
      <c r="F14" s="8"/>
      <c r="G14" s="20" t="s">
        <v>205</v>
      </c>
      <c r="H14" s="8"/>
      <c r="I14" s="20" t="s">
        <v>205</v>
      </c>
      <c r="J14" s="8"/>
      <c r="K14" s="20" t="s">
        <v>205</v>
      </c>
      <c r="L14" s="8"/>
      <c r="M14" s="8"/>
      <c r="N14" s="20" t="s">
        <v>205</v>
      </c>
    </row>
    <row r="15" spans="1:14" ht="15" customHeight="1" x14ac:dyDescent="0.2">
      <c r="A15" s="8">
        <v>13</v>
      </c>
      <c r="B15" s="22" t="s">
        <v>122</v>
      </c>
      <c r="C15" s="20" t="s">
        <v>205</v>
      </c>
      <c r="D15" s="20" t="s">
        <v>205</v>
      </c>
      <c r="E15" s="20" t="s">
        <v>205</v>
      </c>
      <c r="F15" s="20" t="s">
        <v>205</v>
      </c>
      <c r="G15" s="20" t="s">
        <v>205</v>
      </c>
      <c r="H15" s="20" t="s">
        <v>205</v>
      </c>
      <c r="I15" s="20" t="s">
        <v>205</v>
      </c>
      <c r="J15" s="8"/>
      <c r="K15" s="8"/>
      <c r="L15" s="20" t="s">
        <v>205</v>
      </c>
      <c r="M15" s="20" t="s">
        <v>205</v>
      </c>
      <c r="N15" s="8"/>
    </row>
    <row r="16" spans="1:14" ht="15" customHeight="1" x14ac:dyDescent="0.2">
      <c r="A16" s="8">
        <v>14</v>
      </c>
      <c r="B16" s="19" t="s">
        <v>124</v>
      </c>
      <c r="C16" s="20" t="s">
        <v>205</v>
      </c>
      <c r="D16" s="8"/>
      <c r="E16" s="20" t="s">
        <v>205</v>
      </c>
      <c r="F16" s="8"/>
      <c r="G16" s="20" t="s">
        <v>205</v>
      </c>
      <c r="H16" s="8"/>
      <c r="I16" s="8"/>
      <c r="J16" s="20" t="s">
        <v>205</v>
      </c>
      <c r="K16" s="20" t="s">
        <v>205</v>
      </c>
      <c r="L16" s="8"/>
      <c r="M16" s="8"/>
      <c r="N16" s="20" t="s">
        <v>205</v>
      </c>
    </row>
    <row r="17" spans="1:14" ht="15" customHeight="1" x14ac:dyDescent="0.2">
      <c r="A17" s="8">
        <v>15</v>
      </c>
      <c r="B17" s="19" t="s">
        <v>150</v>
      </c>
      <c r="C17" s="8"/>
      <c r="D17" s="20" t="s">
        <v>205</v>
      </c>
      <c r="E17" s="8"/>
      <c r="F17" s="8"/>
      <c r="G17" s="20" t="s">
        <v>205</v>
      </c>
      <c r="H17" s="20" t="s">
        <v>205</v>
      </c>
      <c r="I17" s="8"/>
      <c r="J17" s="20" t="s">
        <v>205</v>
      </c>
      <c r="K17" s="20" t="s">
        <v>205</v>
      </c>
      <c r="L17" s="8"/>
      <c r="M17" s="20" t="s">
        <v>205</v>
      </c>
      <c r="N17" s="8"/>
    </row>
    <row r="18" spans="1:14" ht="15" customHeight="1" x14ac:dyDescent="0.2">
      <c r="A18" s="8">
        <v>16</v>
      </c>
      <c r="B18" s="19" t="s">
        <v>126</v>
      </c>
      <c r="C18" s="20" t="s">
        <v>205</v>
      </c>
      <c r="D18" s="20" t="s">
        <v>205</v>
      </c>
      <c r="E18" s="8"/>
      <c r="F18" s="8"/>
      <c r="G18" s="8"/>
      <c r="H18" s="8"/>
      <c r="I18" s="20" t="s">
        <v>205</v>
      </c>
      <c r="J18" s="20" t="s">
        <v>205</v>
      </c>
      <c r="K18" s="20" t="s">
        <v>205</v>
      </c>
      <c r="L18" s="8"/>
      <c r="M18" s="20" t="s">
        <v>205</v>
      </c>
      <c r="N18" s="8"/>
    </row>
    <row r="19" spans="1:14" ht="15" customHeight="1" x14ac:dyDescent="0.2">
      <c r="A19" s="8">
        <v>17</v>
      </c>
      <c r="B19" s="19" t="s">
        <v>128</v>
      </c>
      <c r="C19" s="20" t="s">
        <v>205</v>
      </c>
      <c r="D19" s="8"/>
      <c r="E19" s="8"/>
      <c r="F19" s="20" t="s">
        <v>205</v>
      </c>
      <c r="G19" s="8"/>
      <c r="H19" s="20" t="s">
        <v>205</v>
      </c>
      <c r="I19" s="20" t="s">
        <v>205</v>
      </c>
      <c r="J19" s="8"/>
      <c r="K19" s="20" t="s">
        <v>205</v>
      </c>
      <c r="L19" s="8"/>
      <c r="M19" s="8"/>
      <c r="N19" s="20" t="s">
        <v>205</v>
      </c>
    </row>
    <row r="20" spans="1:14" ht="15" customHeight="1" x14ac:dyDescent="0.2">
      <c r="A20" s="8">
        <v>18</v>
      </c>
      <c r="B20" s="21" t="s">
        <v>184</v>
      </c>
      <c r="C20" s="8"/>
      <c r="D20" s="8"/>
      <c r="E20" s="8"/>
      <c r="F20" s="8"/>
      <c r="G20" s="8"/>
      <c r="H20" s="8"/>
      <c r="I20" s="8"/>
      <c r="J20" s="8"/>
      <c r="K20" s="8"/>
      <c r="L20" s="20" t="s">
        <v>205</v>
      </c>
      <c r="M20" s="20" t="s">
        <v>205</v>
      </c>
      <c r="N20" s="8"/>
    </row>
    <row r="21" spans="1:14" ht="15" customHeight="1" x14ac:dyDescent="0.2">
      <c r="A21" s="8">
        <v>19</v>
      </c>
      <c r="B21" s="19" t="s">
        <v>138</v>
      </c>
      <c r="C21" s="8"/>
      <c r="D21" s="20" t="s">
        <v>205</v>
      </c>
      <c r="E21" s="20" t="s">
        <v>205</v>
      </c>
      <c r="F21" s="8"/>
      <c r="G21" s="8"/>
      <c r="H21" s="20" t="s">
        <v>205</v>
      </c>
      <c r="I21" s="8"/>
      <c r="J21" s="20" t="s">
        <v>205</v>
      </c>
      <c r="K21" s="8"/>
      <c r="L21" s="20" t="s">
        <v>205</v>
      </c>
      <c r="M21" s="8"/>
      <c r="N21" s="20" t="s">
        <v>205</v>
      </c>
    </row>
    <row r="22" spans="1:14" ht="15" customHeight="1" x14ac:dyDescent="0.2">
      <c r="A22" s="8">
        <v>20</v>
      </c>
      <c r="B22" s="22" t="s">
        <v>130</v>
      </c>
      <c r="C22" s="20" t="s">
        <v>205</v>
      </c>
      <c r="D22" s="20" t="s">
        <v>205</v>
      </c>
      <c r="E22" s="20" t="s">
        <v>205</v>
      </c>
      <c r="F22" s="20" t="s">
        <v>205</v>
      </c>
      <c r="G22" s="20" t="s">
        <v>205</v>
      </c>
      <c r="H22" s="20" t="s">
        <v>205</v>
      </c>
      <c r="I22" s="8"/>
      <c r="J22" s="20" t="s">
        <v>205</v>
      </c>
      <c r="K22" s="20" t="s">
        <v>205</v>
      </c>
      <c r="L22" s="8"/>
      <c r="M22" s="8"/>
      <c r="N22" s="20" t="s">
        <v>205</v>
      </c>
    </row>
    <row r="23" spans="1:14" ht="15" customHeight="1" x14ac:dyDescent="0.2">
      <c r="A23" s="8">
        <v>21</v>
      </c>
      <c r="B23" s="22" t="s">
        <v>132</v>
      </c>
      <c r="C23" s="20" t="s">
        <v>205</v>
      </c>
      <c r="D23" s="20" t="s">
        <v>205</v>
      </c>
      <c r="E23" s="20" t="s">
        <v>205</v>
      </c>
      <c r="F23" s="20" t="s">
        <v>205</v>
      </c>
      <c r="G23" s="20" t="s">
        <v>205</v>
      </c>
      <c r="H23" s="20" t="s">
        <v>205</v>
      </c>
      <c r="I23" s="20" t="s">
        <v>205</v>
      </c>
      <c r="J23" s="8"/>
      <c r="K23" s="8"/>
      <c r="L23" s="20" t="s">
        <v>205</v>
      </c>
      <c r="M23" s="20" t="s">
        <v>205</v>
      </c>
      <c r="N23" s="8"/>
    </row>
    <row r="24" spans="1:14" ht="15" customHeight="1" x14ac:dyDescent="0.2">
      <c r="A24" s="8">
        <v>22</v>
      </c>
      <c r="B24" s="19" t="s">
        <v>161</v>
      </c>
      <c r="C24" s="8"/>
      <c r="D24" s="8"/>
      <c r="E24" s="8"/>
      <c r="F24" s="20" t="s">
        <v>205</v>
      </c>
      <c r="G24" s="20" t="s">
        <v>205</v>
      </c>
      <c r="H24" s="8"/>
      <c r="I24" s="8"/>
      <c r="J24" s="20" t="s">
        <v>205</v>
      </c>
      <c r="K24" s="20" t="s">
        <v>205</v>
      </c>
      <c r="L24" s="8"/>
      <c r="M24" s="20" t="s">
        <v>205</v>
      </c>
      <c r="N24" s="8"/>
    </row>
    <row r="25" spans="1:14" ht="15" customHeight="1" x14ac:dyDescent="0.2">
      <c r="A25" s="8">
        <v>23</v>
      </c>
      <c r="B25" s="19" t="s">
        <v>114</v>
      </c>
      <c r="C25" s="8"/>
      <c r="D25" s="8"/>
      <c r="E25" s="20" t="s">
        <v>205</v>
      </c>
      <c r="F25" s="8"/>
      <c r="G25" s="8"/>
      <c r="H25" s="20" t="s">
        <v>205</v>
      </c>
      <c r="I25" s="8"/>
      <c r="J25" s="20" t="s">
        <v>205</v>
      </c>
      <c r="K25" s="8"/>
      <c r="L25" s="20" t="s">
        <v>205</v>
      </c>
      <c r="M25" s="20" t="s">
        <v>205</v>
      </c>
      <c r="N25" s="8"/>
    </row>
    <row r="26" spans="1:14" ht="15" customHeight="1" x14ac:dyDescent="0.2">
      <c r="A26" s="8">
        <v>24</v>
      </c>
      <c r="B26" s="19" t="s">
        <v>140</v>
      </c>
      <c r="C26" s="8"/>
      <c r="D26" s="8"/>
      <c r="E26" s="8"/>
      <c r="F26" s="20" t="s">
        <v>205</v>
      </c>
      <c r="G26" s="20" t="s">
        <v>205</v>
      </c>
      <c r="H26" s="8"/>
      <c r="I26" s="20" t="s">
        <v>205</v>
      </c>
      <c r="J26" s="8"/>
      <c r="K26" s="8"/>
      <c r="L26" s="20" t="s">
        <v>205</v>
      </c>
      <c r="M26" s="8"/>
      <c r="N26" s="20" t="s">
        <v>205</v>
      </c>
    </row>
    <row r="27" spans="1:14" ht="15" customHeight="1" x14ac:dyDescent="0.2">
      <c r="A27" s="8">
        <v>25</v>
      </c>
      <c r="B27" s="21" t="s">
        <v>182</v>
      </c>
      <c r="C27" s="8"/>
      <c r="D27" s="8"/>
      <c r="E27" s="8"/>
      <c r="F27" s="8"/>
      <c r="G27" s="8"/>
      <c r="H27" s="8"/>
      <c r="I27" s="8"/>
      <c r="J27" s="8"/>
      <c r="K27" s="8"/>
      <c r="L27" s="20" t="s">
        <v>205</v>
      </c>
      <c r="M27" s="20" t="s">
        <v>205</v>
      </c>
      <c r="N27" s="8"/>
    </row>
    <row r="28" spans="1:14" ht="15" customHeight="1" x14ac:dyDescent="0.2">
      <c r="A28" s="8">
        <v>26</v>
      </c>
      <c r="B28" s="19" t="s">
        <v>155</v>
      </c>
      <c r="C28" s="8"/>
      <c r="D28" s="8"/>
      <c r="E28" s="20" t="s">
        <v>205</v>
      </c>
      <c r="F28" s="8"/>
      <c r="G28" s="8"/>
      <c r="H28" s="20" t="s">
        <v>205</v>
      </c>
      <c r="I28" s="20" t="s">
        <v>205</v>
      </c>
      <c r="J28" s="8"/>
      <c r="K28" s="20" t="s">
        <v>205</v>
      </c>
      <c r="L28" s="20" t="s">
        <v>205</v>
      </c>
      <c r="M28" s="8"/>
      <c r="N28" s="8"/>
    </row>
    <row r="29" spans="1:14" ht="15" customHeight="1" x14ac:dyDescent="0.2">
      <c r="A29" s="8">
        <v>27</v>
      </c>
      <c r="B29" s="21" t="s">
        <v>118</v>
      </c>
      <c r="C29" s="8"/>
      <c r="D29" s="8"/>
      <c r="E29" s="8"/>
      <c r="F29" s="8"/>
      <c r="G29" s="8"/>
      <c r="H29" s="8"/>
      <c r="I29" s="8"/>
      <c r="J29" s="8"/>
      <c r="K29" s="8"/>
      <c r="L29" s="20" t="s">
        <v>205</v>
      </c>
      <c r="M29" s="20" t="s">
        <v>205</v>
      </c>
      <c r="N29" s="8"/>
    </row>
    <row r="30" spans="1:14" ht="15" customHeight="1" x14ac:dyDescent="0.2">
      <c r="A30" s="8">
        <v>28</v>
      </c>
      <c r="B30" s="22" t="s">
        <v>134</v>
      </c>
      <c r="C30" s="20" t="s">
        <v>205</v>
      </c>
      <c r="D30" s="20" t="s">
        <v>205</v>
      </c>
      <c r="E30" s="20" t="s">
        <v>205</v>
      </c>
      <c r="F30" s="20" t="s">
        <v>205</v>
      </c>
      <c r="G30" s="20" t="s">
        <v>205</v>
      </c>
      <c r="H30" s="20" t="s">
        <v>205</v>
      </c>
      <c r="I30" s="8"/>
      <c r="J30" s="20" t="s">
        <v>205</v>
      </c>
      <c r="K30" s="20" t="s">
        <v>205</v>
      </c>
      <c r="L30" s="8"/>
      <c r="M30" s="8"/>
      <c r="N30" s="20" t="s">
        <v>205</v>
      </c>
    </row>
    <row r="31" spans="1:14" ht="15" customHeight="1" x14ac:dyDescent="0.2">
      <c r="A31" s="8">
        <v>29</v>
      </c>
      <c r="B31" s="21" t="s">
        <v>188</v>
      </c>
      <c r="C31" s="8"/>
      <c r="D31" s="8"/>
      <c r="E31" s="8"/>
      <c r="F31" s="8"/>
      <c r="G31" s="8"/>
      <c r="H31" s="8"/>
      <c r="I31" s="8"/>
      <c r="J31" s="8"/>
      <c r="K31" s="8"/>
      <c r="L31" s="20" t="s">
        <v>205</v>
      </c>
      <c r="M31" s="20" t="s">
        <v>205</v>
      </c>
      <c r="N31" s="8"/>
    </row>
    <row r="32" spans="1:14" ht="15" customHeight="1" x14ac:dyDescent="0.2">
      <c r="A32" s="8">
        <v>30</v>
      </c>
      <c r="B32" s="22" t="s">
        <v>122</v>
      </c>
      <c r="C32" s="20" t="s">
        <v>205</v>
      </c>
      <c r="D32" s="20" t="s">
        <v>205</v>
      </c>
      <c r="E32" s="20" t="s">
        <v>205</v>
      </c>
      <c r="F32" s="20" t="s">
        <v>205</v>
      </c>
      <c r="G32" s="20" t="s">
        <v>205</v>
      </c>
      <c r="H32" s="20" t="s">
        <v>205</v>
      </c>
      <c r="I32" s="20" t="s">
        <v>205</v>
      </c>
      <c r="J32" s="8"/>
      <c r="K32" s="20" t="s">
        <v>205</v>
      </c>
      <c r="L32" s="8"/>
      <c r="M32" s="8"/>
      <c r="N32" s="20" t="s">
        <v>205</v>
      </c>
    </row>
    <row r="33" spans="1:14" ht="15" customHeight="1" x14ac:dyDescent="0.2">
      <c r="A33" s="8">
        <v>31</v>
      </c>
      <c r="B33" s="19" t="s">
        <v>142</v>
      </c>
      <c r="C33" s="8"/>
      <c r="D33" s="8"/>
      <c r="E33" s="20" t="s">
        <v>205</v>
      </c>
      <c r="F33" s="8"/>
      <c r="G33" s="20" t="s">
        <v>205</v>
      </c>
      <c r="H33" s="8"/>
      <c r="I33" s="20" t="s">
        <v>205</v>
      </c>
      <c r="J33" s="8"/>
      <c r="K33" s="20" t="s">
        <v>205</v>
      </c>
      <c r="L33" s="8"/>
      <c r="M33" s="8"/>
      <c r="N33" s="20" t="s">
        <v>205</v>
      </c>
    </row>
    <row r="34" spans="1:14" ht="15" customHeight="1" x14ac:dyDescent="0.2">
      <c r="A34" s="8">
        <v>32</v>
      </c>
      <c r="B34" s="19" t="s">
        <v>158</v>
      </c>
      <c r="C34" s="8"/>
      <c r="D34" s="8"/>
      <c r="E34" s="20" t="s">
        <v>205</v>
      </c>
      <c r="F34" s="8"/>
      <c r="G34" s="8"/>
      <c r="H34" s="8"/>
      <c r="I34" s="20" t="s">
        <v>205</v>
      </c>
      <c r="J34" s="20" t="s">
        <v>205</v>
      </c>
      <c r="K34" s="20" t="s">
        <v>205</v>
      </c>
      <c r="L34" s="8"/>
      <c r="M34" s="8"/>
      <c r="N34" s="20" t="s">
        <v>205</v>
      </c>
    </row>
    <row r="35" spans="1:14" ht="15" customHeight="1" x14ac:dyDescent="0.2">
      <c r="A35" s="8">
        <v>33</v>
      </c>
      <c r="B35" s="19" t="s">
        <v>150</v>
      </c>
      <c r="C35" s="8"/>
      <c r="D35" s="8"/>
      <c r="E35" s="8"/>
      <c r="F35" s="20" t="s">
        <v>205</v>
      </c>
      <c r="G35" s="8"/>
      <c r="H35" s="20" t="s">
        <v>205</v>
      </c>
      <c r="I35" s="20" t="s">
        <v>205</v>
      </c>
      <c r="J35" s="8"/>
      <c r="K35" s="8"/>
      <c r="L35" s="20" t="s">
        <v>205</v>
      </c>
      <c r="M35" s="20" t="s">
        <v>205</v>
      </c>
      <c r="N35" s="8"/>
    </row>
    <row r="36" spans="1:14" ht="15" customHeight="1" x14ac:dyDescent="0.2">
      <c r="A36" s="8">
        <v>34</v>
      </c>
      <c r="B36" s="22" t="s">
        <v>130</v>
      </c>
      <c r="C36" s="20" t="s">
        <v>205</v>
      </c>
      <c r="D36" s="20" t="s">
        <v>205</v>
      </c>
      <c r="E36" s="20" t="s">
        <v>205</v>
      </c>
      <c r="F36" s="20" t="s">
        <v>205</v>
      </c>
      <c r="G36" s="20" t="s">
        <v>205</v>
      </c>
      <c r="H36" s="20" t="s">
        <v>205</v>
      </c>
      <c r="I36" s="20" t="s">
        <v>205</v>
      </c>
      <c r="J36" s="8"/>
      <c r="K36" s="20" t="s">
        <v>205</v>
      </c>
      <c r="L36" s="8"/>
      <c r="M36" s="8"/>
      <c r="N36" s="20" t="s">
        <v>205</v>
      </c>
    </row>
    <row r="37" spans="1:14" ht="15" customHeight="1" x14ac:dyDescent="0.2">
      <c r="A37" s="8">
        <v>35</v>
      </c>
      <c r="B37" s="22" t="s">
        <v>138</v>
      </c>
      <c r="C37" s="20" t="s">
        <v>205</v>
      </c>
      <c r="D37" s="20" t="s">
        <v>205</v>
      </c>
      <c r="E37" s="20" t="s">
        <v>205</v>
      </c>
      <c r="F37" s="20" t="s">
        <v>205</v>
      </c>
      <c r="G37" s="20" t="s">
        <v>205</v>
      </c>
      <c r="H37" s="20" t="s">
        <v>205</v>
      </c>
      <c r="I37" s="8"/>
      <c r="J37" s="20" t="s">
        <v>205</v>
      </c>
      <c r="K37" s="8"/>
      <c r="L37" s="20" t="s">
        <v>205</v>
      </c>
      <c r="M37" s="8"/>
      <c r="N37" s="20" t="s">
        <v>205</v>
      </c>
    </row>
    <row r="38" spans="1:14" ht="15" customHeight="1" x14ac:dyDescent="0.2">
      <c r="A38" s="8">
        <v>36</v>
      </c>
      <c r="B38" s="19" t="s">
        <v>165</v>
      </c>
      <c r="C38" s="8"/>
      <c r="D38" s="8"/>
      <c r="E38" s="8"/>
      <c r="F38" s="20" t="s">
        <v>205</v>
      </c>
      <c r="G38" s="8"/>
      <c r="H38" s="20" t="s">
        <v>205</v>
      </c>
      <c r="I38" s="20" t="s">
        <v>205</v>
      </c>
      <c r="J38" s="8"/>
      <c r="K38" s="20" t="s">
        <v>205</v>
      </c>
      <c r="L38" s="8"/>
      <c r="M38" s="8"/>
      <c r="N38" s="20" t="s">
        <v>205</v>
      </c>
    </row>
    <row r="39" spans="1:14" ht="15" customHeight="1" x14ac:dyDescent="0.2">
      <c r="A39" s="8">
        <v>37</v>
      </c>
      <c r="B39" s="19" t="s">
        <v>167</v>
      </c>
      <c r="C39" s="8"/>
      <c r="D39" s="8"/>
      <c r="E39" s="8"/>
      <c r="F39" s="20" t="s">
        <v>205</v>
      </c>
      <c r="G39" s="8"/>
      <c r="H39" s="20" t="s">
        <v>205</v>
      </c>
      <c r="I39" s="8"/>
      <c r="J39" s="20" t="s">
        <v>205</v>
      </c>
      <c r="K39" s="20" t="s">
        <v>205</v>
      </c>
      <c r="L39" s="8"/>
      <c r="M39" s="8"/>
      <c r="N39" s="20" t="s">
        <v>205</v>
      </c>
    </row>
    <row r="40" spans="1:14" ht="15" customHeight="1" x14ac:dyDescent="0.2">
      <c r="A40" s="8">
        <v>38</v>
      </c>
      <c r="B40" s="21" t="s">
        <v>173</v>
      </c>
      <c r="C40" s="8"/>
      <c r="D40" s="8"/>
      <c r="E40" s="8"/>
      <c r="F40" s="8"/>
      <c r="G40" s="8"/>
      <c r="H40" s="8"/>
      <c r="I40" s="8"/>
      <c r="J40" s="20" t="s">
        <v>205</v>
      </c>
      <c r="K40" s="8"/>
      <c r="L40" s="8"/>
      <c r="M40" s="20" t="s">
        <v>205</v>
      </c>
      <c r="N40" s="8"/>
    </row>
    <row r="41" spans="1:14" ht="15" customHeight="1" x14ac:dyDescent="0.2">
      <c r="A41" s="8">
        <v>39</v>
      </c>
      <c r="B41" s="22" t="s">
        <v>140</v>
      </c>
      <c r="C41" s="20" t="s">
        <v>205</v>
      </c>
      <c r="D41" s="20" t="s">
        <v>205</v>
      </c>
      <c r="E41" s="20" t="s">
        <v>205</v>
      </c>
      <c r="F41" s="20" t="s">
        <v>205</v>
      </c>
      <c r="G41" s="20" t="s">
        <v>205</v>
      </c>
      <c r="H41" s="8"/>
      <c r="I41" s="20" t="s">
        <v>205</v>
      </c>
      <c r="J41" s="20" t="s">
        <v>205</v>
      </c>
      <c r="K41" s="20" t="s">
        <v>205</v>
      </c>
      <c r="L41" s="8"/>
      <c r="M41" s="8"/>
      <c r="N41" s="20" t="s">
        <v>205</v>
      </c>
    </row>
    <row r="42" spans="1:14" ht="15" customHeight="1" x14ac:dyDescent="0.2">
      <c r="A42" s="8">
        <v>40</v>
      </c>
      <c r="B42" s="22" t="s">
        <v>142</v>
      </c>
      <c r="C42" s="20" t="s">
        <v>205</v>
      </c>
      <c r="D42" s="20" t="s">
        <v>205</v>
      </c>
      <c r="E42" s="20" t="s">
        <v>205</v>
      </c>
      <c r="F42" s="20" t="s">
        <v>205</v>
      </c>
      <c r="G42" s="20" t="s">
        <v>205</v>
      </c>
      <c r="H42" s="20" t="s">
        <v>205</v>
      </c>
      <c r="I42" s="8"/>
      <c r="J42" s="20" t="s">
        <v>205</v>
      </c>
      <c r="K42" s="8"/>
      <c r="L42" s="20" t="s">
        <v>205</v>
      </c>
      <c r="M42" s="20" t="s">
        <v>205</v>
      </c>
      <c r="N42" s="8"/>
    </row>
    <row r="43" spans="1:14" ht="15" customHeight="1" x14ac:dyDescent="0.2">
      <c r="A43" s="8">
        <v>41</v>
      </c>
      <c r="B43" s="22" t="s">
        <v>118</v>
      </c>
      <c r="C43" s="20" t="s">
        <v>205</v>
      </c>
      <c r="D43" s="20" t="s">
        <v>205</v>
      </c>
      <c r="E43" s="20" t="s">
        <v>205</v>
      </c>
      <c r="F43" s="20" t="s">
        <v>205</v>
      </c>
      <c r="G43" s="20" t="s">
        <v>205</v>
      </c>
      <c r="H43" s="20" t="s">
        <v>205</v>
      </c>
      <c r="I43" s="8"/>
      <c r="J43" s="20" t="s">
        <v>205</v>
      </c>
      <c r="K43" s="20" t="s">
        <v>205</v>
      </c>
      <c r="L43" s="8"/>
      <c r="M43" s="8"/>
      <c r="N43" s="20" t="s">
        <v>205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D282"/>
  <sheetViews>
    <sheetView showGridLines="0" zoomScaleNormal="100" workbookViewId="0"/>
  </sheetViews>
  <sheetFormatPr baseColWidth="10" defaultColWidth="8.6640625" defaultRowHeight="15" x14ac:dyDescent="0.2"/>
  <cols>
    <col min="1" max="1" width="2" customWidth="1"/>
    <col min="2" max="2" width="40" customWidth="1"/>
    <col min="3" max="3" width="12" customWidth="1"/>
    <col min="4" max="4" width="16" customWidth="1"/>
    <col min="5" max="5" width="3" customWidth="1"/>
  </cols>
  <sheetData>
    <row r="2" spans="2:4" ht="27.75" customHeight="1" x14ac:dyDescent="0.2">
      <c r="B2" s="171" t="s">
        <v>206</v>
      </c>
      <c r="C2" s="143"/>
      <c r="D2" s="143"/>
    </row>
    <row r="3" spans="2:4" ht="30" customHeight="1" x14ac:dyDescent="0.2">
      <c r="B3" s="170" t="s">
        <v>207</v>
      </c>
      <c r="C3" s="143"/>
      <c r="D3" s="143"/>
    </row>
    <row r="5" spans="2:4" ht="15" customHeight="1" x14ac:dyDescent="0.2">
      <c r="B5" s="168" t="s">
        <v>208</v>
      </c>
      <c r="C5" s="164"/>
      <c r="D5" s="23">
        <v>100</v>
      </c>
    </row>
    <row r="7" spans="2:4" ht="19.5" customHeight="1" x14ac:dyDescent="0.2">
      <c r="B7" s="166" t="s">
        <v>209</v>
      </c>
      <c r="C7" s="143"/>
      <c r="D7" s="143"/>
    </row>
    <row r="8" spans="2:4" ht="15" customHeight="1" x14ac:dyDescent="0.2">
      <c r="B8" s="24" t="s">
        <v>210</v>
      </c>
      <c r="C8" s="24" t="s">
        <v>105</v>
      </c>
      <c r="D8" s="24" t="s">
        <v>211</v>
      </c>
    </row>
    <row r="9" spans="2:4" ht="15" customHeight="1" x14ac:dyDescent="0.2">
      <c r="B9" s="25" t="s">
        <v>212</v>
      </c>
      <c r="C9" s="26">
        <v>1.45</v>
      </c>
      <c r="D9" s="27">
        <v>0.75</v>
      </c>
    </row>
    <row r="10" spans="2:4" ht="15" customHeight="1" x14ac:dyDescent="0.2">
      <c r="B10" s="163" t="s">
        <v>213</v>
      </c>
      <c r="C10" s="164"/>
      <c r="D10" s="28">
        <f>PRODUCT(C9)</f>
        <v>1.45</v>
      </c>
    </row>
    <row r="11" spans="2:4" ht="15" customHeight="1" x14ac:dyDescent="0.2">
      <c r="B11" s="163" t="s">
        <v>214</v>
      </c>
      <c r="C11" s="164"/>
      <c r="D11" s="29">
        <f>PRODUCT(D9)</f>
        <v>0.75</v>
      </c>
    </row>
    <row r="12" spans="2:4" ht="15" customHeight="1" x14ac:dyDescent="0.2">
      <c r="B12" s="163" t="s">
        <v>215</v>
      </c>
      <c r="C12" s="164"/>
      <c r="D12" s="30">
        <f>$D$5</f>
        <v>100</v>
      </c>
    </row>
    <row r="13" spans="2:4" ht="15" customHeight="1" x14ac:dyDescent="0.2">
      <c r="B13" s="1" t="s">
        <v>216</v>
      </c>
      <c r="C13" s="31" t="s">
        <v>217</v>
      </c>
      <c r="D13" s="31" t="s">
        <v>218</v>
      </c>
    </row>
    <row r="14" spans="2:4" ht="15" customHeight="1" x14ac:dyDescent="0.2">
      <c r="B14" s="32" t="s">
        <v>219</v>
      </c>
      <c r="C14" s="33">
        <f>MAX(0,MIN(1,((D11*D10-1)/(D10-1))*0.5))</f>
        <v>9.7222222222222127E-2</v>
      </c>
      <c r="D14" s="34">
        <f>D12*C14</f>
        <v>9.7222222222222126</v>
      </c>
    </row>
    <row r="15" spans="2:4" ht="15" customHeight="1" x14ac:dyDescent="0.2">
      <c r="B15" s="32" t="s">
        <v>220</v>
      </c>
      <c r="C15" s="33">
        <f>MAX(0,MIN(1,((D11*D10-1)/(D10-1))*0.666666666666667))</f>
        <v>0.12962962962962957</v>
      </c>
      <c r="D15" s="34">
        <f>D12*C15</f>
        <v>12.962962962962957</v>
      </c>
    </row>
    <row r="16" spans="2:4" ht="15" customHeight="1" x14ac:dyDescent="0.2">
      <c r="B16" s="32" t="s">
        <v>221</v>
      </c>
      <c r="C16" s="33">
        <f>MAX(0,MIN(1,((D11*D10-1)/(D10-1))*1))</f>
        <v>0.19444444444444425</v>
      </c>
      <c r="D16" s="34">
        <f>D12*C16</f>
        <v>19.444444444444425</v>
      </c>
    </row>
    <row r="17" spans="2:4" ht="15" customHeight="1" x14ac:dyDescent="0.2">
      <c r="B17" s="163" t="s">
        <v>222</v>
      </c>
      <c r="C17" s="164"/>
      <c r="D17" s="35">
        <v>1</v>
      </c>
    </row>
    <row r="18" spans="2:4" ht="15" customHeight="1" x14ac:dyDescent="0.2">
      <c r="B18" s="163" t="s">
        <v>223</v>
      </c>
      <c r="C18" s="164"/>
      <c r="D18" s="30">
        <f>D12*D17</f>
        <v>100</v>
      </c>
    </row>
    <row r="19" spans="2:4" ht="15" customHeight="1" x14ac:dyDescent="0.2">
      <c r="B19" s="163" t="s">
        <v>224</v>
      </c>
      <c r="C19" s="164"/>
      <c r="D19" s="36">
        <v>1</v>
      </c>
    </row>
    <row r="20" spans="2:4" ht="15" customHeight="1" x14ac:dyDescent="0.2">
      <c r="B20" s="163" t="s">
        <v>225</v>
      </c>
      <c r="C20" s="164"/>
      <c r="D20" s="30">
        <f>IF(D19=1,D18*D10,0)</f>
        <v>145</v>
      </c>
    </row>
    <row r="21" spans="2:4" ht="15" customHeight="1" x14ac:dyDescent="0.2">
      <c r="B21" s="165" t="s">
        <v>226</v>
      </c>
      <c r="C21" s="164"/>
      <c r="D21" s="37">
        <f>D12-D18+D20</f>
        <v>145</v>
      </c>
    </row>
    <row r="23" spans="2:4" ht="19.5" customHeight="1" x14ac:dyDescent="0.2">
      <c r="B23" s="166" t="s">
        <v>227</v>
      </c>
      <c r="C23" s="143"/>
      <c r="D23" s="143"/>
    </row>
    <row r="24" spans="2:4" ht="15" customHeight="1" x14ac:dyDescent="0.2">
      <c r="B24" s="24" t="s">
        <v>210</v>
      </c>
      <c r="C24" s="24" t="s">
        <v>105</v>
      </c>
      <c r="D24" s="24" t="s">
        <v>211</v>
      </c>
    </row>
    <row r="25" spans="2:4" ht="15" customHeight="1" x14ac:dyDescent="0.2">
      <c r="B25" s="25" t="s">
        <v>228</v>
      </c>
      <c r="C25" s="26">
        <v>1.26</v>
      </c>
      <c r="D25" s="27">
        <v>0.87</v>
      </c>
    </row>
    <row r="26" spans="2:4" ht="15" customHeight="1" x14ac:dyDescent="0.2">
      <c r="B26" s="25" t="s">
        <v>229</v>
      </c>
      <c r="C26" s="26">
        <v>1.8</v>
      </c>
      <c r="D26" s="27">
        <v>0.78</v>
      </c>
    </row>
    <row r="27" spans="2:4" ht="15" customHeight="1" x14ac:dyDescent="0.2">
      <c r="B27" s="163" t="s">
        <v>213</v>
      </c>
      <c r="C27" s="164"/>
      <c r="D27" s="28">
        <f>PRODUCT(C25:C26)</f>
        <v>2.2680000000000002</v>
      </c>
    </row>
    <row r="28" spans="2:4" ht="15" customHeight="1" x14ac:dyDescent="0.2">
      <c r="B28" s="163" t="s">
        <v>214</v>
      </c>
      <c r="C28" s="164"/>
      <c r="D28" s="29">
        <f>PRODUCT(D25:D26)</f>
        <v>0.67859999999999998</v>
      </c>
    </row>
    <row r="29" spans="2:4" ht="15" customHeight="1" x14ac:dyDescent="0.2">
      <c r="B29" s="163" t="s">
        <v>215</v>
      </c>
      <c r="C29" s="164"/>
      <c r="D29" s="30">
        <f>$D$21</f>
        <v>145</v>
      </c>
    </row>
    <row r="30" spans="2:4" ht="15" customHeight="1" x14ac:dyDescent="0.2">
      <c r="B30" s="1" t="s">
        <v>216</v>
      </c>
      <c r="C30" s="31" t="s">
        <v>217</v>
      </c>
      <c r="D30" s="31" t="s">
        <v>218</v>
      </c>
    </row>
    <row r="31" spans="2:4" ht="15" customHeight="1" x14ac:dyDescent="0.2">
      <c r="B31" s="32" t="s">
        <v>219</v>
      </c>
      <c r="C31" s="33">
        <f>MAX(0,MIN(1,((D28*D27-1)/(D27-1))*0.5))</f>
        <v>0.2125649842271293</v>
      </c>
      <c r="D31" s="34">
        <f>D29*C31</f>
        <v>30.821922712933748</v>
      </c>
    </row>
    <row r="32" spans="2:4" ht="15" customHeight="1" x14ac:dyDescent="0.2">
      <c r="B32" s="32" t="s">
        <v>220</v>
      </c>
      <c r="C32" s="33">
        <f>MAX(0,MIN(1,((D28*D27-1)/(D27-1))*0.666666666666667))</f>
        <v>0.28341997896950588</v>
      </c>
      <c r="D32" s="34">
        <f>D29*C32</f>
        <v>41.09589695057835</v>
      </c>
    </row>
    <row r="33" spans="2:4" ht="15" customHeight="1" x14ac:dyDescent="0.2">
      <c r="B33" s="32" t="s">
        <v>221</v>
      </c>
      <c r="C33" s="33">
        <f>MAX(0,MIN(1,((D28*D27-1)/(D27-1))*1))</f>
        <v>0.4251299684542586</v>
      </c>
      <c r="D33" s="34">
        <f>D29*C33</f>
        <v>61.643845425867497</v>
      </c>
    </row>
    <row r="34" spans="2:4" ht="15" customHeight="1" x14ac:dyDescent="0.2">
      <c r="B34" s="163" t="s">
        <v>222</v>
      </c>
      <c r="C34" s="164"/>
      <c r="D34" s="35">
        <v>1</v>
      </c>
    </row>
    <row r="35" spans="2:4" ht="15" customHeight="1" x14ac:dyDescent="0.2">
      <c r="B35" s="163" t="s">
        <v>223</v>
      </c>
      <c r="C35" s="164"/>
      <c r="D35" s="30">
        <f>D29*D34</f>
        <v>145</v>
      </c>
    </row>
    <row r="36" spans="2:4" ht="15" customHeight="1" x14ac:dyDescent="0.2">
      <c r="B36" s="163" t="s">
        <v>224</v>
      </c>
      <c r="C36" s="164"/>
      <c r="D36" s="36">
        <v>1</v>
      </c>
    </row>
    <row r="37" spans="2:4" ht="15" customHeight="1" x14ac:dyDescent="0.2">
      <c r="B37" s="163" t="s">
        <v>225</v>
      </c>
      <c r="C37" s="164"/>
      <c r="D37" s="30">
        <f>IF(D36=1,D35*D27,0)</f>
        <v>328.86</v>
      </c>
    </row>
    <row r="38" spans="2:4" ht="15" customHeight="1" x14ac:dyDescent="0.2">
      <c r="B38" s="165" t="s">
        <v>226</v>
      </c>
      <c r="C38" s="164"/>
      <c r="D38" s="37">
        <f>D29-D35+D37</f>
        <v>328.86</v>
      </c>
    </row>
    <row r="40" spans="2:4" ht="19.5" customHeight="1" x14ac:dyDescent="0.2">
      <c r="B40" s="166" t="s">
        <v>230</v>
      </c>
      <c r="C40" s="143"/>
      <c r="D40" s="143"/>
    </row>
    <row r="41" spans="2:4" ht="15" customHeight="1" x14ac:dyDescent="0.2">
      <c r="B41" s="24" t="s">
        <v>210</v>
      </c>
      <c r="C41" s="24" t="s">
        <v>105</v>
      </c>
      <c r="D41" s="24" t="s">
        <v>211</v>
      </c>
    </row>
    <row r="42" spans="2:4" ht="15" customHeight="1" x14ac:dyDescent="0.2">
      <c r="B42" s="25" t="s">
        <v>231</v>
      </c>
      <c r="C42" s="26">
        <v>1.05</v>
      </c>
      <c r="D42" s="27">
        <v>0.98</v>
      </c>
    </row>
    <row r="43" spans="2:4" ht="15" customHeight="1" x14ac:dyDescent="0.2">
      <c r="B43" s="163" t="s">
        <v>213</v>
      </c>
      <c r="C43" s="164"/>
      <c r="D43" s="28">
        <f>PRODUCT(C42)</f>
        <v>1.05</v>
      </c>
    </row>
    <row r="44" spans="2:4" ht="15" customHeight="1" x14ac:dyDescent="0.2">
      <c r="B44" s="163" t="s">
        <v>214</v>
      </c>
      <c r="C44" s="164"/>
      <c r="D44" s="29">
        <f>PRODUCT(D42)</f>
        <v>0.98</v>
      </c>
    </row>
    <row r="45" spans="2:4" ht="15" customHeight="1" x14ac:dyDescent="0.2">
      <c r="B45" s="163" t="s">
        <v>215</v>
      </c>
      <c r="C45" s="164"/>
      <c r="D45" s="30">
        <f>$D$38</f>
        <v>328.86</v>
      </c>
    </row>
    <row r="46" spans="2:4" ht="15" customHeight="1" x14ac:dyDescent="0.2">
      <c r="B46" s="1" t="s">
        <v>216</v>
      </c>
      <c r="C46" s="31" t="s">
        <v>217</v>
      </c>
      <c r="D46" s="31" t="s">
        <v>218</v>
      </c>
    </row>
    <row r="47" spans="2:4" ht="15" customHeight="1" x14ac:dyDescent="0.2">
      <c r="B47" s="32" t="s">
        <v>219</v>
      </c>
      <c r="C47" s="33">
        <f>MAX(0,MIN(1,((D44*D43-1)/(D43-1))*0.5))</f>
        <v>0.28999999999999887</v>
      </c>
      <c r="D47" s="34">
        <f>D45*C47</f>
        <v>95.369399999999629</v>
      </c>
    </row>
    <row r="48" spans="2:4" ht="15" customHeight="1" x14ac:dyDescent="0.2">
      <c r="B48" s="32" t="s">
        <v>220</v>
      </c>
      <c r="C48" s="33">
        <f>MAX(0,MIN(1,((D44*D43-1)/(D43-1))*0.666666666666667))</f>
        <v>0.38666666666666533</v>
      </c>
      <c r="D48" s="34">
        <f>D45*C48</f>
        <v>127.15919999999956</v>
      </c>
    </row>
    <row r="49" spans="2:4" ht="15" customHeight="1" x14ac:dyDescent="0.2">
      <c r="B49" s="32" t="s">
        <v>221</v>
      </c>
      <c r="C49" s="33">
        <f>MAX(0,MIN(1,((D44*D43-1)/(D43-1))*1))</f>
        <v>0.57999999999999774</v>
      </c>
      <c r="D49" s="34">
        <f>D45*C49</f>
        <v>190.73879999999926</v>
      </c>
    </row>
    <row r="50" spans="2:4" ht="15" customHeight="1" x14ac:dyDescent="0.2">
      <c r="B50" s="163" t="s">
        <v>222</v>
      </c>
      <c r="C50" s="164"/>
      <c r="D50" s="35">
        <v>1</v>
      </c>
    </row>
    <row r="51" spans="2:4" ht="15" customHeight="1" x14ac:dyDescent="0.2">
      <c r="B51" s="163" t="s">
        <v>223</v>
      </c>
      <c r="C51" s="164"/>
      <c r="D51" s="30">
        <f>D45*D50</f>
        <v>328.86</v>
      </c>
    </row>
    <row r="52" spans="2:4" ht="15" customHeight="1" x14ac:dyDescent="0.2">
      <c r="B52" s="163" t="s">
        <v>224</v>
      </c>
      <c r="C52" s="164"/>
      <c r="D52" s="36">
        <v>1</v>
      </c>
    </row>
    <row r="53" spans="2:4" ht="15" customHeight="1" x14ac:dyDescent="0.2">
      <c r="B53" s="163" t="s">
        <v>225</v>
      </c>
      <c r="C53" s="164"/>
      <c r="D53" s="30">
        <f>IF(D52=1,D51*D43,0)</f>
        <v>345.30300000000005</v>
      </c>
    </row>
    <row r="54" spans="2:4" ht="15" customHeight="1" x14ac:dyDescent="0.2">
      <c r="B54" s="165" t="s">
        <v>226</v>
      </c>
      <c r="C54" s="164"/>
      <c r="D54" s="37">
        <f>D45-D51+D53</f>
        <v>345.30300000000005</v>
      </c>
    </row>
    <row r="56" spans="2:4" ht="19.5" customHeight="1" x14ac:dyDescent="0.2">
      <c r="B56" s="166" t="s">
        <v>232</v>
      </c>
      <c r="C56" s="143"/>
      <c r="D56" s="143"/>
    </row>
    <row r="57" spans="2:4" ht="15" customHeight="1" x14ac:dyDescent="0.2">
      <c r="B57" s="24" t="s">
        <v>210</v>
      </c>
      <c r="C57" s="24" t="s">
        <v>105</v>
      </c>
      <c r="D57" s="24" t="s">
        <v>211</v>
      </c>
    </row>
    <row r="58" spans="2:4" ht="15" customHeight="1" x14ac:dyDescent="0.2">
      <c r="B58" s="25" t="s">
        <v>233</v>
      </c>
      <c r="C58" s="26">
        <v>1.1000000000000001</v>
      </c>
      <c r="D58" s="27">
        <v>0.98</v>
      </c>
    </row>
    <row r="59" spans="2:4" ht="15" customHeight="1" x14ac:dyDescent="0.2">
      <c r="B59" s="25" t="s">
        <v>234</v>
      </c>
      <c r="C59" s="26">
        <v>1.5</v>
      </c>
      <c r="D59" s="27">
        <v>0.66669999999999996</v>
      </c>
    </row>
    <row r="60" spans="2:4" ht="15" customHeight="1" x14ac:dyDescent="0.2">
      <c r="B60" s="163" t="s">
        <v>213</v>
      </c>
      <c r="C60" s="164"/>
      <c r="D60" s="28">
        <f>PRODUCT(C58:C59)</f>
        <v>1.6500000000000001</v>
      </c>
    </row>
    <row r="61" spans="2:4" ht="15" customHeight="1" x14ac:dyDescent="0.2">
      <c r="B61" s="163" t="s">
        <v>214</v>
      </c>
      <c r="C61" s="164"/>
      <c r="D61" s="29">
        <f>PRODUCT(D58:D59)</f>
        <v>0.653366</v>
      </c>
    </row>
    <row r="62" spans="2:4" ht="15" customHeight="1" x14ac:dyDescent="0.2">
      <c r="B62" s="163" t="s">
        <v>215</v>
      </c>
      <c r="C62" s="164"/>
      <c r="D62" s="30">
        <f>$D$54</f>
        <v>345.30300000000005</v>
      </c>
    </row>
    <row r="63" spans="2:4" ht="15" customHeight="1" x14ac:dyDescent="0.2">
      <c r="B63" s="1" t="s">
        <v>216</v>
      </c>
      <c r="C63" s="31" t="s">
        <v>217</v>
      </c>
      <c r="D63" s="31" t="s">
        <v>218</v>
      </c>
    </row>
    <row r="64" spans="2:4" ht="15" customHeight="1" x14ac:dyDescent="0.2">
      <c r="B64" s="32" t="s">
        <v>219</v>
      </c>
      <c r="C64" s="33">
        <f>MAX(0,MIN(1,((D61*D60-1)/(D60-1))*0.5))</f>
        <v>6.0041461538461537E-2</v>
      </c>
      <c r="D64" s="34">
        <f>D62*C64</f>
        <v>20.732496793615386</v>
      </c>
    </row>
    <row r="65" spans="2:4" ht="15" customHeight="1" x14ac:dyDescent="0.2">
      <c r="B65" s="32" t="s">
        <v>220</v>
      </c>
      <c r="C65" s="33">
        <f>MAX(0,MIN(1,((D61*D60-1)/(D60-1))*0.666666666666667))</f>
        <v>8.0055282051282081E-2</v>
      </c>
      <c r="D65" s="34">
        <f>D62*C65</f>
        <v>27.64332905815386</v>
      </c>
    </row>
    <row r="66" spans="2:4" ht="15" customHeight="1" x14ac:dyDescent="0.2">
      <c r="B66" s="32" t="s">
        <v>221</v>
      </c>
      <c r="C66" s="33">
        <f>MAX(0,MIN(1,((D61*D60-1)/(D60-1))*1))</f>
        <v>0.12008292307692307</v>
      </c>
      <c r="D66" s="34">
        <f>D62*C66</f>
        <v>41.464993587230772</v>
      </c>
    </row>
    <row r="67" spans="2:4" ht="15" customHeight="1" x14ac:dyDescent="0.2">
      <c r="B67" s="163" t="s">
        <v>222</v>
      </c>
      <c r="C67" s="164"/>
      <c r="D67" s="35">
        <v>1</v>
      </c>
    </row>
    <row r="68" spans="2:4" ht="15" customHeight="1" x14ac:dyDescent="0.2">
      <c r="B68" s="163" t="s">
        <v>223</v>
      </c>
      <c r="C68" s="164"/>
      <c r="D68" s="30">
        <f>D62*D67</f>
        <v>345.30300000000005</v>
      </c>
    </row>
    <row r="69" spans="2:4" ht="15" customHeight="1" x14ac:dyDescent="0.2">
      <c r="B69" s="163" t="s">
        <v>224</v>
      </c>
      <c r="C69" s="164"/>
      <c r="D69" s="36">
        <v>1</v>
      </c>
    </row>
    <row r="70" spans="2:4" ht="15" customHeight="1" x14ac:dyDescent="0.2">
      <c r="B70" s="163" t="s">
        <v>225</v>
      </c>
      <c r="C70" s="164"/>
      <c r="D70" s="30">
        <f>IF(D69=1,D68*D60,0)</f>
        <v>569.74995000000013</v>
      </c>
    </row>
    <row r="71" spans="2:4" ht="15" customHeight="1" x14ac:dyDescent="0.2">
      <c r="B71" s="165" t="s">
        <v>226</v>
      </c>
      <c r="C71" s="164"/>
      <c r="D71" s="37">
        <f>D62-D68+D70</f>
        <v>569.74995000000013</v>
      </c>
    </row>
    <row r="73" spans="2:4" ht="19.5" customHeight="1" x14ac:dyDescent="0.2">
      <c r="B73" s="166" t="s">
        <v>235</v>
      </c>
      <c r="C73" s="143"/>
      <c r="D73" s="143"/>
    </row>
    <row r="74" spans="2:4" ht="15" customHeight="1" x14ac:dyDescent="0.2">
      <c r="B74" s="24" t="s">
        <v>210</v>
      </c>
      <c r="C74" s="24" t="s">
        <v>105</v>
      </c>
      <c r="D74" s="24" t="s">
        <v>211</v>
      </c>
    </row>
    <row r="75" spans="2:4" ht="15" customHeight="1" x14ac:dyDescent="0.2">
      <c r="B75" s="25" t="s">
        <v>236</v>
      </c>
      <c r="C75" s="26">
        <v>1.47</v>
      </c>
      <c r="D75" s="27">
        <v>0.71</v>
      </c>
    </row>
    <row r="76" spans="2:4" ht="15" customHeight="1" x14ac:dyDescent="0.2">
      <c r="B76" s="25" t="s">
        <v>237</v>
      </c>
      <c r="C76" s="26">
        <v>1.23</v>
      </c>
      <c r="D76" s="27">
        <v>0.87</v>
      </c>
    </row>
    <row r="77" spans="2:4" ht="15" customHeight="1" x14ac:dyDescent="0.2">
      <c r="B77" s="25" t="s">
        <v>238</v>
      </c>
      <c r="C77" s="26">
        <v>1.34</v>
      </c>
      <c r="D77" s="27">
        <v>0.82</v>
      </c>
    </row>
    <row r="78" spans="2:4" ht="15" customHeight="1" x14ac:dyDescent="0.2">
      <c r="B78" s="163" t="s">
        <v>213</v>
      </c>
      <c r="C78" s="164"/>
      <c r="D78" s="28">
        <f>PRODUCT(C75:C77)</f>
        <v>2.4228540000000001</v>
      </c>
    </row>
    <row r="79" spans="2:4" ht="15" customHeight="1" x14ac:dyDescent="0.2">
      <c r="B79" s="163" t="s">
        <v>214</v>
      </c>
      <c r="C79" s="164"/>
      <c r="D79" s="29">
        <f>PRODUCT(D75:D77)</f>
        <v>0.50651399999999991</v>
      </c>
    </row>
    <row r="80" spans="2:4" ht="15" customHeight="1" x14ac:dyDescent="0.2">
      <c r="B80" s="163" t="s">
        <v>215</v>
      </c>
      <c r="C80" s="164"/>
      <c r="D80" s="30">
        <f>$D$71</f>
        <v>569.74995000000013</v>
      </c>
    </row>
    <row r="81" spans="2:4" ht="15" customHeight="1" x14ac:dyDescent="0.2">
      <c r="B81" s="1" t="s">
        <v>216</v>
      </c>
      <c r="C81" s="31" t="s">
        <v>217</v>
      </c>
      <c r="D81" s="31" t="s">
        <v>218</v>
      </c>
    </row>
    <row r="82" spans="2:4" ht="15" customHeight="1" x14ac:dyDescent="0.2">
      <c r="B82" s="32" t="s">
        <v>219</v>
      </c>
      <c r="C82" s="33">
        <f>MAX(0,MIN(1,((D79*D78-1)/(D78-1))*0.5))</f>
        <v>7.9842861936642737E-2</v>
      </c>
      <c r="D82" s="34">
        <f>D80*C82</f>
        <v>45.490466596259111</v>
      </c>
    </row>
    <row r="83" spans="2:4" ht="15" customHeight="1" x14ac:dyDescent="0.2">
      <c r="B83" s="32" t="s">
        <v>220</v>
      </c>
      <c r="C83" s="33">
        <f>MAX(0,MIN(1,((D79*D78-1)/(D78-1))*0.666666666666667))</f>
        <v>0.10645714924885703</v>
      </c>
      <c r="D83" s="34">
        <f>D80*C83</f>
        <v>60.653955461678848</v>
      </c>
    </row>
    <row r="84" spans="2:4" ht="15" customHeight="1" x14ac:dyDescent="0.2">
      <c r="B84" s="32" t="s">
        <v>221</v>
      </c>
      <c r="C84" s="33">
        <f>MAX(0,MIN(1,((D79*D78-1)/(D78-1))*1))</f>
        <v>0.15968572387328547</v>
      </c>
      <c r="D84" s="34">
        <f>D80*C84</f>
        <v>90.980933192518222</v>
      </c>
    </row>
    <row r="85" spans="2:4" ht="15" customHeight="1" x14ac:dyDescent="0.2">
      <c r="B85" s="163" t="s">
        <v>222</v>
      </c>
      <c r="C85" s="164"/>
      <c r="D85" s="35">
        <v>1</v>
      </c>
    </row>
    <row r="86" spans="2:4" ht="15" customHeight="1" x14ac:dyDescent="0.2">
      <c r="B86" s="163" t="s">
        <v>223</v>
      </c>
      <c r="C86" s="164"/>
      <c r="D86" s="30">
        <f>D80*D85</f>
        <v>569.74995000000013</v>
      </c>
    </row>
    <row r="87" spans="2:4" ht="15" customHeight="1" x14ac:dyDescent="0.2">
      <c r="B87" s="163" t="s">
        <v>224</v>
      </c>
      <c r="C87" s="164"/>
      <c r="D87" s="36">
        <v>1</v>
      </c>
    </row>
    <row r="88" spans="2:4" ht="15" customHeight="1" x14ac:dyDescent="0.2">
      <c r="B88" s="163" t="s">
        <v>225</v>
      </c>
      <c r="C88" s="164"/>
      <c r="D88" s="30">
        <f>IF(D87=1,D86*D78,0)</f>
        <v>1380.4209453573003</v>
      </c>
    </row>
    <row r="89" spans="2:4" ht="15" customHeight="1" x14ac:dyDescent="0.2">
      <c r="B89" s="165" t="s">
        <v>226</v>
      </c>
      <c r="C89" s="164"/>
      <c r="D89" s="37">
        <f>D80-D86+D88</f>
        <v>1380.4209453573003</v>
      </c>
    </row>
    <row r="91" spans="2:4" ht="19.5" customHeight="1" x14ac:dyDescent="0.2">
      <c r="B91" s="166" t="s">
        <v>239</v>
      </c>
      <c r="C91" s="143"/>
      <c r="D91" s="143"/>
    </row>
    <row r="92" spans="2:4" ht="15" customHeight="1" x14ac:dyDescent="0.2">
      <c r="B92" s="24" t="s">
        <v>210</v>
      </c>
      <c r="C92" s="24" t="s">
        <v>105</v>
      </c>
      <c r="D92" s="24" t="s">
        <v>211</v>
      </c>
    </row>
    <row r="93" spans="2:4" ht="15" customHeight="1" x14ac:dyDescent="0.2">
      <c r="B93" s="25" t="s">
        <v>240</v>
      </c>
      <c r="C93" s="26">
        <v>1.28</v>
      </c>
      <c r="D93" s="27">
        <v>0.85</v>
      </c>
    </row>
    <row r="94" spans="2:4" ht="15" customHeight="1" x14ac:dyDescent="0.2">
      <c r="B94" s="25" t="s">
        <v>241</v>
      </c>
      <c r="C94" s="26">
        <v>1.29</v>
      </c>
      <c r="D94" s="27">
        <v>0.8</v>
      </c>
    </row>
    <row r="95" spans="2:4" ht="15" customHeight="1" x14ac:dyDescent="0.2">
      <c r="B95" s="25" t="s">
        <v>242</v>
      </c>
      <c r="C95" s="26">
        <v>1.42</v>
      </c>
      <c r="D95" s="27">
        <v>0.92</v>
      </c>
    </row>
    <row r="96" spans="2:4" ht="15" customHeight="1" x14ac:dyDescent="0.2">
      <c r="B96" s="163" t="s">
        <v>213</v>
      </c>
      <c r="C96" s="164"/>
      <c r="D96" s="28">
        <f>PRODUCT(C93:C95)</f>
        <v>2.3447039999999997</v>
      </c>
    </row>
    <row r="97" spans="2:4" ht="15" customHeight="1" x14ac:dyDescent="0.2">
      <c r="B97" s="163" t="s">
        <v>214</v>
      </c>
      <c r="C97" s="164"/>
      <c r="D97" s="29">
        <f>PRODUCT(D93:D95)</f>
        <v>0.62560000000000004</v>
      </c>
    </row>
    <row r="98" spans="2:4" ht="15" customHeight="1" x14ac:dyDescent="0.2">
      <c r="B98" s="163" t="s">
        <v>215</v>
      </c>
      <c r="C98" s="164"/>
      <c r="D98" s="30">
        <f>$D$89</f>
        <v>1380.4209453573003</v>
      </c>
    </row>
    <row r="99" spans="2:4" ht="15" customHeight="1" x14ac:dyDescent="0.2">
      <c r="B99" s="1" t="s">
        <v>216</v>
      </c>
      <c r="C99" s="31" t="s">
        <v>217</v>
      </c>
      <c r="D99" s="31" t="s">
        <v>218</v>
      </c>
    </row>
    <row r="100" spans="2:4" ht="15" customHeight="1" x14ac:dyDescent="0.2">
      <c r="B100" s="32" t="s">
        <v>219</v>
      </c>
      <c r="C100" s="33">
        <f>MAX(0,MIN(1,((D97*D96-1)/(D96-1))*0.5))</f>
        <v>0.17358720670125175</v>
      </c>
      <c r="D100" s="34">
        <f>D98*C100</f>
        <v>239.62341597647503</v>
      </c>
    </row>
    <row r="101" spans="2:4" ht="15" customHeight="1" x14ac:dyDescent="0.2">
      <c r="B101" s="32" t="s">
        <v>220</v>
      </c>
      <c r="C101" s="33">
        <f>MAX(0,MIN(1,((D97*D96-1)/(D96-1))*0.666666666666667))</f>
        <v>0.23144960893500244</v>
      </c>
      <c r="D101" s="34">
        <f>D98*C101</f>
        <v>319.49788796863351</v>
      </c>
    </row>
    <row r="102" spans="2:4" ht="15" customHeight="1" x14ac:dyDescent="0.2">
      <c r="B102" s="32" t="s">
        <v>221</v>
      </c>
      <c r="C102" s="33">
        <f>MAX(0,MIN(1,((D97*D96-1)/(D96-1))*1))</f>
        <v>0.34717441340250349</v>
      </c>
      <c r="D102" s="34">
        <f>D98*C102</f>
        <v>479.24683195295006</v>
      </c>
    </row>
    <row r="103" spans="2:4" ht="15" customHeight="1" x14ac:dyDescent="0.2">
      <c r="B103" s="163" t="s">
        <v>222</v>
      </c>
      <c r="C103" s="164"/>
      <c r="D103" s="35">
        <v>1</v>
      </c>
    </row>
    <row r="104" spans="2:4" ht="15" customHeight="1" x14ac:dyDescent="0.2">
      <c r="B104" s="163" t="s">
        <v>223</v>
      </c>
      <c r="C104" s="164"/>
      <c r="D104" s="30">
        <f>D98*D103</f>
        <v>1380.4209453573003</v>
      </c>
    </row>
    <row r="105" spans="2:4" ht="15" customHeight="1" x14ac:dyDescent="0.2">
      <c r="B105" s="163" t="s">
        <v>224</v>
      </c>
      <c r="C105" s="164"/>
      <c r="D105" s="36">
        <v>1</v>
      </c>
    </row>
    <row r="106" spans="2:4" ht="15" customHeight="1" x14ac:dyDescent="0.2">
      <c r="B106" s="163" t="s">
        <v>225</v>
      </c>
      <c r="C106" s="164"/>
      <c r="D106" s="30">
        <f>IF(D105=1,D104*D96,0)</f>
        <v>3236.6785122630431</v>
      </c>
    </row>
    <row r="107" spans="2:4" ht="15" customHeight="1" x14ac:dyDescent="0.2">
      <c r="B107" s="165" t="s">
        <v>226</v>
      </c>
      <c r="C107" s="164"/>
      <c r="D107" s="37">
        <f>D98-D104+D106</f>
        <v>3236.6785122630431</v>
      </c>
    </row>
    <row r="109" spans="2:4" ht="19.5" customHeight="1" x14ac:dyDescent="0.2">
      <c r="B109" s="166" t="s">
        <v>243</v>
      </c>
      <c r="C109" s="143"/>
      <c r="D109" s="143"/>
    </row>
    <row r="110" spans="2:4" ht="15" customHeight="1" x14ac:dyDescent="0.2">
      <c r="B110" s="24" t="s">
        <v>210</v>
      </c>
      <c r="C110" s="24" t="s">
        <v>105</v>
      </c>
      <c r="D110" s="24" t="s">
        <v>211</v>
      </c>
    </row>
    <row r="111" spans="2:4" ht="15" customHeight="1" x14ac:dyDescent="0.2">
      <c r="B111" s="25" t="s">
        <v>244</v>
      </c>
      <c r="C111" s="26">
        <v>1.27</v>
      </c>
      <c r="D111" s="27">
        <v>0.88</v>
      </c>
    </row>
    <row r="112" spans="2:4" ht="15" customHeight="1" x14ac:dyDescent="0.2">
      <c r="B112" s="163" t="s">
        <v>213</v>
      </c>
      <c r="C112" s="164"/>
      <c r="D112" s="28">
        <f>PRODUCT(C111)</f>
        <v>1.27</v>
      </c>
    </row>
    <row r="113" spans="2:4" ht="15" customHeight="1" x14ac:dyDescent="0.2">
      <c r="B113" s="163" t="s">
        <v>214</v>
      </c>
      <c r="C113" s="164"/>
      <c r="D113" s="29">
        <f>PRODUCT(D111)</f>
        <v>0.88</v>
      </c>
    </row>
    <row r="114" spans="2:4" ht="15" customHeight="1" x14ac:dyDescent="0.2">
      <c r="B114" s="163" t="s">
        <v>215</v>
      </c>
      <c r="C114" s="164"/>
      <c r="D114" s="30">
        <f>$D$107</f>
        <v>3236.6785122630431</v>
      </c>
    </row>
    <row r="115" spans="2:4" ht="15" customHeight="1" x14ac:dyDescent="0.2">
      <c r="B115" s="1" t="s">
        <v>216</v>
      </c>
      <c r="C115" s="31" t="s">
        <v>217</v>
      </c>
      <c r="D115" s="31" t="s">
        <v>218</v>
      </c>
    </row>
    <row r="116" spans="2:4" ht="15" customHeight="1" x14ac:dyDescent="0.2">
      <c r="B116" s="32" t="s">
        <v>219</v>
      </c>
      <c r="C116" s="33">
        <f>MAX(0,MIN(1,((D113*D112-1)/(D112-1))*0.5))</f>
        <v>0.21777777777777763</v>
      </c>
      <c r="D116" s="34">
        <f>D114*C116</f>
        <v>704.87665378172892</v>
      </c>
    </row>
    <row r="117" spans="2:4" ht="15" customHeight="1" x14ac:dyDescent="0.2">
      <c r="B117" s="32" t="s">
        <v>220</v>
      </c>
      <c r="C117" s="33">
        <f>MAX(0,MIN(1,((D113*D112-1)/(D112-1))*0.666666666666667))</f>
        <v>0.29037037037037028</v>
      </c>
      <c r="D117" s="34">
        <f>D114*C117</f>
        <v>939.83553837563886</v>
      </c>
    </row>
    <row r="118" spans="2:4" ht="15" customHeight="1" x14ac:dyDescent="0.2">
      <c r="B118" s="32" t="s">
        <v>221</v>
      </c>
      <c r="C118" s="33">
        <f>MAX(0,MIN(1,((D113*D112-1)/(D112-1))*1))</f>
        <v>0.43555555555555525</v>
      </c>
      <c r="D118" s="34">
        <f>D114*C118</f>
        <v>1409.7533075634578</v>
      </c>
    </row>
    <row r="119" spans="2:4" ht="15" customHeight="1" x14ac:dyDescent="0.2">
      <c r="B119" s="163" t="s">
        <v>222</v>
      </c>
      <c r="C119" s="164"/>
      <c r="D119" s="35">
        <v>1</v>
      </c>
    </row>
    <row r="120" spans="2:4" ht="15" customHeight="1" x14ac:dyDescent="0.2">
      <c r="B120" s="163" t="s">
        <v>223</v>
      </c>
      <c r="C120" s="164"/>
      <c r="D120" s="30">
        <f>D114*D119</f>
        <v>3236.6785122630431</v>
      </c>
    </row>
    <row r="121" spans="2:4" ht="15" customHeight="1" x14ac:dyDescent="0.2">
      <c r="B121" s="163" t="s">
        <v>224</v>
      </c>
      <c r="C121" s="164"/>
      <c r="D121" s="36">
        <v>1</v>
      </c>
    </row>
    <row r="122" spans="2:4" ht="15" customHeight="1" x14ac:dyDescent="0.2">
      <c r="B122" s="163" t="s">
        <v>225</v>
      </c>
      <c r="C122" s="164"/>
      <c r="D122" s="30">
        <f>IF(D121=1,D120*D112,0)</f>
        <v>4110.5817105740643</v>
      </c>
    </row>
    <row r="123" spans="2:4" ht="15" customHeight="1" x14ac:dyDescent="0.2">
      <c r="B123" s="165" t="s">
        <v>226</v>
      </c>
      <c r="C123" s="164"/>
      <c r="D123" s="37">
        <f>D114-D120+D122</f>
        <v>4110.5817105740643</v>
      </c>
    </row>
    <row r="125" spans="2:4" ht="19.5" customHeight="1" x14ac:dyDescent="0.2">
      <c r="B125" s="166" t="s">
        <v>245</v>
      </c>
      <c r="C125" s="143"/>
      <c r="D125" s="143"/>
    </row>
    <row r="126" spans="2:4" ht="15" customHeight="1" x14ac:dyDescent="0.2">
      <c r="B126" s="24" t="s">
        <v>210</v>
      </c>
      <c r="C126" s="24" t="s">
        <v>105</v>
      </c>
      <c r="D126" s="24" t="s">
        <v>211</v>
      </c>
    </row>
    <row r="127" spans="2:4" ht="15" customHeight="1" x14ac:dyDescent="0.2">
      <c r="B127" s="25" t="s">
        <v>246</v>
      </c>
      <c r="C127" s="26">
        <v>2.0499999999999998</v>
      </c>
      <c r="D127" s="27">
        <v>0.82</v>
      </c>
    </row>
    <row r="128" spans="2:4" ht="15" customHeight="1" x14ac:dyDescent="0.2">
      <c r="B128" s="25" t="s">
        <v>247</v>
      </c>
      <c r="C128" s="26">
        <v>1.06</v>
      </c>
      <c r="D128" s="27">
        <v>0.99</v>
      </c>
    </row>
    <row r="129" spans="2:4" ht="15" customHeight="1" x14ac:dyDescent="0.2">
      <c r="B129" s="163" t="s">
        <v>213</v>
      </c>
      <c r="C129" s="164"/>
      <c r="D129" s="28">
        <f>PRODUCT(C127:C128)</f>
        <v>2.173</v>
      </c>
    </row>
    <row r="130" spans="2:4" ht="15" customHeight="1" x14ac:dyDescent="0.2">
      <c r="B130" s="163" t="s">
        <v>214</v>
      </c>
      <c r="C130" s="164"/>
      <c r="D130" s="29">
        <f>PRODUCT(D127:D128)</f>
        <v>0.81179999999999997</v>
      </c>
    </row>
    <row r="131" spans="2:4" ht="15" customHeight="1" x14ac:dyDescent="0.2">
      <c r="B131" s="163" t="s">
        <v>215</v>
      </c>
      <c r="C131" s="164"/>
      <c r="D131" s="30">
        <f>$D$123</f>
        <v>4110.5817105740643</v>
      </c>
    </row>
    <row r="132" spans="2:4" ht="15" customHeight="1" x14ac:dyDescent="0.2">
      <c r="B132" s="1" t="s">
        <v>216</v>
      </c>
      <c r="C132" s="31" t="s">
        <v>217</v>
      </c>
      <c r="D132" s="31" t="s">
        <v>218</v>
      </c>
    </row>
    <row r="133" spans="2:4" ht="15" customHeight="1" x14ac:dyDescent="0.2">
      <c r="B133" s="32" t="s">
        <v>219</v>
      </c>
      <c r="C133" s="33">
        <f>MAX(0,MIN(1,((D130*D129-1)/(D129-1))*0.5))</f>
        <v>0.32567834612105712</v>
      </c>
      <c r="D133" s="34">
        <f>D131*C133</f>
        <v>1338.7274530952272</v>
      </c>
    </row>
    <row r="134" spans="2:4" ht="15" customHeight="1" x14ac:dyDescent="0.2">
      <c r="B134" s="32" t="s">
        <v>220</v>
      </c>
      <c r="C134" s="33">
        <f>MAX(0,MIN(1,((D130*D129-1)/(D129-1))*0.666666666666667))</f>
        <v>0.43423779482807634</v>
      </c>
      <c r="D134" s="34">
        <f>D131*C134</f>
        <v>1784.9699374603035</v>
      </c>
    </row>
    <row r="135" spans="2:4" ht="15" customHeight="1" x14ac:dyDescent="0.2">
      <c r="B135" s="32" t="s">
        <v>221</v>
      </c>
      <c r="C135" s="33">
        <f>MAX(0,MIN(1,((D130*D129-1)/(D129-1))*1))</f>
        <v>0.65135669224211423</v>
      </c>
      <c r="D135" s="34">
        <f>D131*C135</f>
        <v>2677.4549061904545</v>
      </c>
    </row>
    <row r="136" spans="2:4" ht="15" customHeight="1" x14ac:dyDescent="0.2">
      <c r="B136" s="163" t="s">
        <v>222</v>
      </c>
      <c r="C136" s="164"/>
      <c r="D136" s="35">
        <v>1</v>
      </c>
    </row>
    <row r="137" spans="2:4" ht="15" customHeight="1" x14ac:dyDescent="0.2">
      <c r="B137" s="163" t="s">
        <v>223</v>
      </c>
      <c r="C137" s="164"/>
      <c r="D137" s="30">
        <f>D131*D136</f>
        <v>4110.5817105740643</v>
      </c>
    </row>
    <row r="138" spans="2:4" ht="15" customHeight="1" x14ac:dyDescent="0.2">
      <c r="B138" s="163" t="s">
        <v>224</v>
      </c>
      <c r="C138" s="164"/>
      <c r="D138" s="36">
        <v>1</v>
      </c>
    </row>
    <row r="139" spans="2:4" ht="15" customHeight="1" x14ac:dyDescent="0.2">
      <c r="B139" s="163" t="s">
        <v>225</v>
      </c>
      <c r="C139" s="164"/>
      <c r="D139" s="30">
        <f>IF(D138=1,D137*D129,0)</f>
        <v>8932.2940570774426</v>
      </c>
    </row>
    <row r="140" spans="2:4" ht="15" customHeight="1" x14ac:dyDescent="0.2">
      <c r="B140" s="165" t="s">
        <v>226</v>
      </c>
      <c r="C140" s="164"/>
      <c r="D140" s="37">
        <f>D131-D137+D139</f>
        <v>8932.2940570774426</v>
      </c>
    </row>
    <row r="142" spans="2:4" ht="19.5" customHeight="1" x14ac:dyDescent="0.2">
      <c r="B142" s="166" t="s">
        <v>248</v>
      </c>
      <c r="C142" s="143"/>
      <c r="D142" s="143"/>
    </row>
    <row r="143" spans="2:4" ht="15" customHeight="1" x14ac:dyDescent="0.2">
      <c r="B143" s="24" t="s">
        <v>210</v>
      </c>
      <c r="C143" s="24" t="s">
        <v>105</v>
      </c>
      <c r="D143" s="24" t="s">
        <v>211</v>
      </c>
    </row>
    <row r="144" spans="2:4" ht="15" customHeight="1" x14ac:dyDescent="0.2">
      <c r="B144" s="25" t="s">
        <v>249</v>
      </c>
      <c r="C144" s="26">
        <v>1.27</v>
      </c>
      <c r="D144" s="27">
        <v>0.95</v>
      </c>
    </row>
    <row r="145" spans="2:4" ht="15" customHeight="1" x14ac:dyDescent="0.2">
      <c r="B145" s="163" t="s">
        <v>213</v>
      </c>
      <c r="C145" s="164"/>
      <c r="D145" s="28">
        <f>PRODUCT(C144)</f>
        <v>1.27</v>
      </c>
    </row>
    <row r="146" spans="2:4" ht="15" customHeight="1" x14ac:dyDescent="0.2">
      <c r="B146" s="163" t="s">
        <v>214</v>
      </c>
      <c r="C146" s="164"/>
      <c r="D146" s="29">
        <f>PRODUCT(D144)</f>
        <v>0.95</v>
      </c>
    </row>
    <row r="147" spans="2:4" ht="15" customHeight="1" x14ac:dyDescent="0.2">
      <c r="B147" s="163" t="s">
        <v>215</v>
      </c>
      <c r="C147" s="164"/>
      <c r="D147" s="30">
        <f>$D$140</f>
        <v>8932.2940570774426</v>
      </c>
    </row>
    <row r="148" spans="2:4" ht="15" customHeight="1" x14ac:dyDescent="0.2">
      <c r="B148" s="1" t="s">
        <v>216</v>
      </c>
      <c r="C148" s="31" t="s">
        <v>217</v>
      </c>
      <c r="D148" s="31" t="s">
        <v>218</v>
      </c>
    </row>
    <row r="149" spans="2:4" ht="15" customHeight="1" x14ac:dyDescent="0.2">
      <c r="B149" s="32" t="s">
        <v>219</v>
      </c>
      <c r="C149" s="33">
        <f>MAX(0,MIN(1,((D146*D145-1)/(D145-1))*0.5))</f>
        <v>0.3824074074074072</v>
      </c>
      <c r="D149" s="34">
        <f>D147*C149</f>
        <v>3415.7754125675756</v>
      </c>
    </row>
    <row r="150" spans="2:4" ht="15" customHeight="1" x14ac:dyDescent="0.2">
      <c r="B150" s="32" t="s">
        <v>220</v>
      </c>
      <c r="C150" s="33">
        <f>MAX(0,MIN(1,((D146*D145-1)/(D145-1))*0.666666666666667))</f>
        <v>0.50987654320987652</v>
      </c>
      <c r="D150" s="34">
        <f>D147*C150</f>
        <v>4554.3672167567702</v>
      </c>
    </row>
    <row r="151" spans="2:4" ht="15" customHeight="1" x14ac:dyDescent="0.2">
      <c r="B151" s="32" t="s">
        <v>221</v>
      </c>
      <c r="C151" s="33">
        <f>MAX(0,MIN(1,((D146*D145-1)/(D145-1))*1))</f>
        <v>0.76481481481481439</v>
      </c>
      <c r="D151" s="34">
        <f>D147*C151</f>
        <v>6831.5508251351512</v>
      </c>
    </row>
    <row r="152" spans="2:4" ht="15" customHeight="1" x14ac:dyDescent="0.2">
      <c r="B152" s="163" t="s">
        <v>222</v>
      </c>
      <c r="C152" s="164"/>
      <c r="D152" s="35">
        <v>1</v>
      </c>
    </row>
    <row r="153" spans="2:4" ht="15" customHeight="1" x14ac:dyDescent="0.2">
      <c r="B153" s="163" t="s">
        <v>223</v>
      </c>
      <c r="C153" s="164"/>
      <c r="D153" s="30">
        <f>D147*D152</f>
        <v>8932.2940570774426</v>
      </c>
    </row>
    <row r="154" spans="2:4" ht="15" customHeight="1" x14ac:dyDescent="0.2">
      <c r="B154" s="163" t="s">
        <v>224</v>
      </c>
      <c r="C154" s="164"/>
      <c r="D154" s="36">
        <v>1</v>
      </c>
    </row>
    <row r="155" spans="2:4" ht="15" customHeight="1" x14ac:dyDescent="0.2">
      <c r="B155" s="163" t="s">
        <v>225</v>
      </c>
      <c r="C155" s="164"/>
      <c r="D155" s="30">
        <f>IF(D154=1,D153*D145,0)</f>
        <v>11344.013452488352</v>
      </c>
    </row>
    <row r="156" spans="2:4" ht="15" customHeight="1" x14ac:dyDescent="0.2">
      <c r="B156" s="165" t="s">
        <v>226</v>
      </c>
      <c r="C156" s="164"/>
      <c r="D156" s="37">
        <f>D147-D153+D155</f>
        <v>11344.013452488352</v>
      </c>
    </row>
    <row r="158" spans="2:4" ht="19.5" customHeight="1" x14ac:dyDescent="0.2">
      <c r="B158" s="166" t="s">
        <v>250</v>
      </c>
      <c r="C158" s="143"/>
      <c r="D158" s="143"/>
    </row>
    <row r="159" spans="2:4" ht="15" customHeight="1" x14ac:dyDescent="0.2">
      <c r="B159" s="24" t="s">
        <v>210</v>
      </c>
      <c r="C159" s="24" t="s">
        <v>105</v>
      </c>
      <c r="D159" s="24" t="s">
        <v>211</v>
      </c>
    </row>
    <row r="160" spans="2:4" ht="15" customHeight="1" x14ac:dyDescent="0.2">
      <c r="B160" s="25" t="s">
        <v>251</v>
      </c>
      <c r="C160" s="26">
        <v>1.1299999999999999</v>
      </c>
      <c r="D160" s="27">
        <v>0.88500000000000001</v>
      </c>
    </row>
    <row r="161" spans="2:4" ht="15" customHeight="1" x14ac:dyDescent="0.2">
      <c r="B161" s="25" t="s">
        <v>252</v>
      </c>
      <c r="C161" s="26">
        <v>1.47</v>
      </c>
      <c r="D161" s="27">
        <v>0.73</v>
      </c>
    </row>
    <row r="162" spans="2:4" ht="15" customHeight="1" x14ac:dyDescent="0.2">
      <c r="B162" s="25" t="s">
        <v>253</v>
      </c>
      <c r="C162" s="26">
        <v>1.47</v>
      </c>
      <c r="D162" s="27">
        <v>0.76</v>
      </c>
    </row>
    <row r="163" spans="2:4" ht="15" customHeight="1" x14ac:dyDescent="0.2">
      <c r="B163" s="25" t="s">
        <v>254</v>
      </c>
      <c r="C163" s="26">
        <v>1.19</v>
      </c>
      <c r="D163" s="27">
        <v>0.87</v>
      </c>
    </row>
    <row r="164" spans="2:4" ht="15" customHeight="1" x14ac:dyDescent="0.2">
      <c r="B164" s="163" t="s">
        <v>213</v>
      </c>
      <c r="C164" s="164"/>
      <c r="D164" s="28">
        <f>PRODUCT(C160:C163)</f>
        <v>2.9057622299999992</v>
      </c>
    </row>
    <row r="165" spans="2:4" ht="15" customHeight="1" x14ac:dyDescent="0.2">
      <c r="B165" s="163" t="s">
        <v>214</v>
      </c>
      <c r="C165" s="164"/>
      <c r="D165" s="29">
        <f>PRODUCT(D160:D163)</f>
        <v>0.42716825999999997</v>
      </c>
    </row>
    <row r="166" spans="2:4" ht="15" customHeight="1" x14ac:dyDescent="0.2">
      <c r="B166" s="163" t="s">
        <v>215</v>
      </c>
      <c r="C166" s="164"/>
      <c r="D166" s="30">
        <f>$D$156</f>
        <v>11344.013452488352</v>
      </c>
    </row>
    <row r="167" spans="2:4" ht="15" customHeight="1" x14ac:dyDescent="0.2">
      <c r="B167" s="1" t="s">
        <v>216</v>
      </c>
      <c r="C167" s="31" t="s">
        <v>217</v>
      </c>
      <c r="D167" s="31" t="s">
        <v>218</v>
      </c>
    </row>
    <row r="168" spans="2:4" ht="15" customHeight="1" x14ac:dyDescent="0.2">
      <c r="B168" s="32" t="s">
        <v>219</v>
      </c>
      <c r="C168" s="33">
        <f>MAX(0,MIN(1,((D165*D164-1)/(D164-1))*0.5))</f>
        <v>6.3294725849094916E-2</v>
      </c>
      <c r="D168" s="34">
        <f>D166*C168</f>
        <v>718.01622150369496</v>
      </c>
    </row>
    <row r="169" spans="2:4" ht="15" customHeight="1" x14ac:dyDescent="0.2">
      <c r="B169" s="32" t="s">
        <v>220</v>
      </c>
      <c r="C169" s="33">
        <f>MAX(0,MIN(1,((D165*D164-1)/(D164-1))*0.666666666666667))</f>
        <v>8.4392967798793253E-2</v>
      </c>
      <c r="D169" s="34">
        <f>D166*C169</f>
        <v>957.35496200492696</v>
      </c>
    </row>
    <row r="170" spans="2:4" ht="15" customHeight="1" x14ac:dyDescent="0.2">
      <c r="B170" s="32" t="s">
        <v>221</v>
      </c>
      <c r="C170" s="33">
        <f>MAX(0,MIN(1,((D165*D164-1)/(D164-1))*1))</f>
        <v>0.12658945169818983</v>
      </c>
      <c r="D170" s="34">
        <f>D166*C170</f>
        <v>1436.0324430073899</v>
      </c>
    </row>
    <row r="171" spans="2:4" ht="15" customHeight="1" x14ac:dyDescent="0.2">
      <c r="B171" s="163" t="s">
        <v>222</v>
      </c>
      <c r="C171" s="164"/>
      <c r="D171" s="35">
        <v>1</v>
      </c>
    </row>
    <row r="172" spans="2:4" ht="15" customHeight="1" x14ac:dyDescent="0.2">
      <c r="B172" s="163" t="s">
        <v>223</v>
      </c>
      <c r="C172" s="164"/>
      <c r="D172" s="30">
        <f>D166*D171</f>
        <v>11344.013452488352</v>
      </c>
    </row>
    <row r="173" spans="2:4" ht="15" customHeight="1" x14ac:dyDescent="0.2">
      <c r="B173" s="163" t="s">
        <v>224</v>
      </c>
      <c r="C173" s="164"/>
      <c r="D173" s="36">
        <v>1</v>
      </c>
    </row>
    <row r="174" spans="2:4" ht="15" customHeight="1" x14ac:dyDescent="0.2">
      <c r="B174" s="163" t="s">
        <v>225</v>
      </c>
      <c r="C174" s="164"/>
      <c r="D174" s="30">
        <f>IF(D173=1,D172*D164,0)</f>
        <v>32963.005826852546</v>
      </c>
    </row>
    <row r="175" spans="2:4" ht="15" customHeight="1" x14ac:dyDescent="0.2">
      <c r="B175" s="165" t="s">
        <v>226</v>
      </c>
      <c r="C175" s="164"/>
      <c r="D175" s="37">
        <f>D166-D172+D174</f>
        <v>32963.005826852546</v>
      </c>
    </row>
    <row r="177" spans="2:4" ht="19.5" customHeight="1" x14ac:dyDescent="0.2">
      <c r="B177" s="166" t="s">
        <v>255</v>
      </c>
      <c r="C177" s="143"/>
      <c r="D177" s="143"/>
    </row>
    <row r="178" spans="2:4" ht="15" customHeight="1" x14ac:dyDescent="0.2">
      <c r="B178" s="24" t="s">
        <v>210</v>
      </c>
      <c r="C178" s="24" t="s">
        <v>105</v>
      </c>
      <c r="D178" s="24" t="s">
        <v>211</v>
      </c>
    </row>
    <row r="179" spans="2:4" ht="15" customHeight="1" x14ac:dyDescent="0.2">
      <c r="B179" s="25" t="s">
        <v>256</v>
      </c>
      <c r="C179" s="26">
        <v>1.1200000000000001</v>
      </c>
      <c r="D179" s="27">
        <v>0.96</v>
      </c>
    </row>
    <row r="180" spans="2:4" ht="15" customHeight="1" x14ac:dyDescent="0.2">
      <c r="B180" s="163" t="s">
        <v>213</v>
      </c>
      <c r="C180" s="164"/>
      <c r="D180" s="28">
        <f>PRODUCT(C179)</f>
        <v>1.1200000000000001</v>
      </c>
    </row>
    <row r="181" spans="2:4" ht="15" customHeight="1" x14ac:dyDescent="0.2">
      <c r="B181" s="163" t="s">
        <v>214</v>
      </c>
      <c r="C181" s="164"/>
      <c r="D181" s="29">
        <f>PRODUCT(D179)</f>
        <v>0.96</v>
      </c>
    </row>
    <row r="182" spans="2:4" ht="15" customHeight="1" x14ac:dyDescent="0.2">
      <c r="B182" s="163" t="s">
        <v>215</v>
      </c>
      <c r="C182" s="164"/>
      <c r="D182" s="30">
        <f>$D$175</f>
        <v>32963.005826852546</v>
      </c>
    </row>
    <row r="183" spans="2:4" ht="15" customHeight="1" x14ac:dyDescent="0.2">
      <c r="B183" s="1" t="s">
        <v>216</v>
      </c>
      <c r="C183" s="31" t="s">
        <v>217</v>
      </c>
      <c r="D183" s="31" t="s">
        <v>218</v>
      </c>
    </row>
    <row r="184" spans="2:4" ht="15" customHeight="1" x14ac:dyDescent="0.2">
      <c r="B184" s="32" t="s">
        <v>219</v>
      </c>
      <c r="C184" s="33">
        <f>MAX(0,MIN(1,((D181*D180-1)/(D180-1))*0.5))</f>
        <v>0.31333333333333369</v>
      </c>
      <c r="D184" s="34">
        <f>D182*C184</f>
        <v>10328.40849241381</v>
      </c>
    </row>
    <row r="185" spans="2:4" ht="15" customHeight="1" x14ac:dyDescent="0.2">
      <c r="B185" s="32" t="s">
        <v>220</v>
      </c>
      <c r="C185" s="33">
        <f>MAX(0,MIN(1,((D181*D180-1)/(D180-1))*0.666666666666667))</f>
        <v>0.41777777777777841</v>
      </c>
      <c r="D185" s="34">
        <f>D182*C185</f>
        <v>13771.211323218418</v>
      </c>
    </row>
    <row r="186" spans="2:4" ht="15" customHeight="1" x14ac:dyDescent="0.2">
      <c r="B186" s="32" t="s">
        <v>221</v>
      </c>
      <c r="C186" s="33">
        <f>MAX(0,MIN(1,((D181*D180-1)/(D180-1))*1))</f>
        <v>0.62666666666666737</v>
      </c>
      <c r="D186" s="34">
        <f>D182*C186</f>
        <v>20656.816984827619</v>
      </c>
    </row>
    <row r="187" spans="2:4" ht="15" customHeight="1" x14ac:dyDescent="0.2">
      <c r="B187" s="163" t="s">
        <v>222</v>
      </c>
      <c r="C187" s="164"/>
      <c r="D187" s="35">
        <v>1</v>
      </c>
    </row>
    <row r="188" spans="2:4" ht="15" customHeight="1" x14ac:dyDescent="0.2">
      <c r="B188" s="163" t="s">
        <v>223</v>
      </c>
      <c r="C188" s="164"/>
      <c r="D188" s="30">
        <f>D182*D187</f>
        <v>32963.005826852546</v>
      </c>
    </row>
    <row r="189" spans="2:4" ht="15" customHeight="1" x14ac:dyDescent="0.2">
      <c r="B189" s="163" t="s">
        <v>224</v>
      </c>
      <c r="C189" s="164"/>
      <c r="D189" s="36">
        <v>1</v>
      </c>
    </row>
    <row r="190" spans="2:4" ht="15" customHeight="1" x14ac:dyDescent="0.2">
      <c r="B190" s="163" t="s">
        <v>225</v>
      </c>
      <c r="C190" s="164"/>
      <c r="D190" s="30">
        <f>IF(D189=1,D188*D180,0)</f>
        <v>36918.566526074857</v>
      </c>
    </row>
    <row r="191" spans="2:4" ht="15" customHeight="1" x14ac:dyDescent="0.2">
      <c r="B191" s="165" t="s">
        <v>226</v>
      </c>
      <c r="C191" s="164"/>
      <c r="D191" s="37">
        <f>D182-D188+D190</f>
        <v>36918.566526074857</v>
      </c>
    </row>
    <row r="193" spans="2:4" ht="19.5" customHeight="1" x14ac:dyDescent="0.2">
      <c r="B193" s="166" t="s">
        <v>257</v>
      </c>
      <c r="C193" s="143"/>
      <c r="D193" s="143"/>
    </row>
    <row r="194" spans="2:4" ht="15" customHeight="1" x14ac:dyDescent="0.2">
      <c r="B194" s="24" t="s">
        <v>210</v>
      </c>
      <c r="C194" s="24" t="s">
        <v>105</v>
      </c>
      <c r="D194" s="24" t="s">
        <v>211</v>
      </c>
    </row>
    <row r="195" spans="2:4" ht="15" customHeight="1" x14ac:dyDescent="0.2">
      <c r="B195" s="25" t="s">
        <v>258</v>
      </c>
      <c r="C195" s="26">
        <v>1.27</v>
      </c>
      <c r="D195" s="27">
        <v>0.95</v>
      </c>
    </row>
    <row r="196" spans="2:4" ht="15" customHeight="1" x14ac:dyDescent="0.2">
      <c r="B196" s="25" t="s">
        <v>259</v>
      </c>
      <c r="C196" s="26">
        <v>1.32</v>
      </c>
      <c r="D196" s="27">
        <v>0.82</v>
      </c>
    </row>
    <row r="197" spans="2:4" ht="15" customHeight="1" x14ac:dyDescent="0.2">
      <c r="B197" s="25" t="s">
        <v>260</v>
      </c>
      <c r="C197" s="26">
        <v>1.5</v>
      </c>
      <c r="D197" s="27">
        <v>0.84</v>
      </c>
    </row>
    <row r="198" spans="2:4" ht="15" customHeight="1" x14ac:dyDescent="0.2">
      <c r="B198" s="25" t="s">
        <v>261</v>
      </c>
      <c r="C198" s="26">
        <v>1.52</v>
      </c>
      <c r="D198" s="27">
        <v>0.75</v>
      </c>
    </row>
    <row r="199" spans="2:4" ht="15" customHeight="1" x14ac:dyDescent="0.2">
      <c r="B199" s="163" t="s">
        <v>213</v>
      </c>
      <c r="C199" s="164"/>
      <c r="D199" s="28">
        <f>PRODUCT(C195:C198)</f>
        <v>3.8221920000000003</v>
      </c>
    </row>
    <row r="200" spans="2:4" ht="15" customHeight="1" x14ac:dyDescent="0.2">
      <c r="B200" s="163" t="s">
        <v>214</v>
      </c>
      <c r="C200" s="164"/>
      <c r="D200" s="29">
        <f>PRODUCT(D195:D198)</f>
        <v>0.49076999999999993</v>
      </c>
    </row>
    <row r="201" spans="2:4" ht="15" customHeight="1" x14ac:dyDescent="0.2">
      <c r="B201" s="163" t="s">
        <v>215</v>
      </c>
      <c r="C201" s="164"/>
      <c r="D201" s="30">
        <f>$D$191</f>
        <v>36918.566526074857</v>
      </c>
    </row>
    <row r="202" spans="2:4" ht="15" customHeight="1" x14ac:dyDescent="0.2">
      <c r="B202" s="1" t="s">
        <v>216</v>
      </c>
      <c r="C202" s="31" t="s">
        <v>217</v>
      </c>
      <c r="D202" s="31" t="s">
        <v>218</v>
      </c>
    </row>
    <row r="203" spans="2:4" ht="15" customHeight="1" x14ac:dyDescent="0.2">
      <c r="B203" s="32" t="s">
        <v>219</v>
      </c>
      <c r="C203" s="33">
        <f>MAX(0,MIN(1,((D200*D199-1)/(D199-1))*0.5))</f>
        <v>0.15516612049073905</v>
      </c>
      <c r="D203" s="34">
        <f>D201*C203</f>
        <v>5728.5107419302967</v>
      </c>
    </row>
    <row r="204" spans="2:4" ht="15" customHeight="1" x14ac:dyDescent="0.2">
      <c r="B204" s="32" t="s">
        <v>220</v>
      </c>
      <c r="C204" s="33">
        <f>MAX(0,MIN(1,((D200*D199-1)/(D199-1))*0.666666666666667))</f>
        <v>0.20688816065431884</v>
      </c>
      <c r="D204" s="34">
        <f>D201*C204</f>
        <v>7638.0143225737329</v>
      </c>
    </row>
    <row r="205" spans="2:4" ht="15" customHeight="1" x14ac:dyDescent="0.2">
      <c r="B205" s="32" t="s">
        <v>221</v>
      </c>
      <c r="C205" s="33">
        <f>MAX(0,MIN(1,((D200*D199-1)/(D199-1))*1))</f>
        <v>0.3103322409814781</v>
      </c>
      <c r="D205" s="34">
        <f>D201*C205</f>
        <v>11457.021483860593</v>
      </c>
    </row>
    <row r="206" spans="2:4" ht="15" customHeight="1" x14ac:dyDescent="0.2">
      <c r="B206" s="163" t="s">
        <v>222</v>
      </c>
      <c r="C206" s="164"/>
      <c r="D206" s="35">
        <v>1</v>
      </c>
    </row>
    <row r="207" spans="2:4" ht="15" customHeight="1" x14ac:dyDescent="0.2">
      <c r="B207" s="163" t="s">
        <v>223</v>
      </c>
      <c r="C207" s="164"/>
      <c r="D207" s="30">
        <f>D201*D206</f>
        <v>36918.566526074857</v>
      </c>
    </row>
    <row r="208" spans="2:4" ht="15" customHeight="1" x14ac:dyDescent="0.2">
      <c r="B208" s="163" t="s">
        <v>224</v>
      </c>
      <c r="C208" s="164"/>
      <c r="D208" s="36">
        <v>1</v>
      </c>
    </row>
    <row r="209" spans="2:4" ht="15" customHeight="1" x14ac:dyDescent="0.2">
      <c r="B209" s="163" t="s">
        <v>225</v>
      </c>
      <c r="C209" s="164"/>
      <c r="D209" s="30">
        <f>IF(D208=1,D207*D199,0)</f>
        <v>141109.84962743113</v>
      </c>
    </row>
    <row r="210" spans="2:4" ht="15" customHeight="1" x14ac:dyDescent="0.2">
      <c r="B210" s="165" t="s">
        <v>226</v>
      </c>
      <c r="C210" s="164"/>
      <c r="D210" s="37">
        <f>D201-D207+D209</f>
        <v>141109.84962743113</v>
      </c>
    </row>
    <row r="212" spans="2:4" ht="19.5" customHeight="1" x14ac:dyDescent="0.2">
      <c r="B212" s="166" t="s">
        <v>262</v>
      </c>
      <c r="C212" s="143"/>
      <c r="D212" s="143"/>
    </row>
    <row r="213" spans="2:4" ht="15" customHeight="1" x14ac:dyDescent="0.2">
      <c r="B213" s="24" t="s">
        <v>210</v>
      </c>
      <c r="C213" s="24" t="s">
        <v>105</v>
      </c>
      <c r="D213" s="24" t="s">
        <v>211</v>
      </c>
    </row>
    <row r="214" spans="2:4" ht="15" customHeight="1" x14ac:dyDescent="0.2">
      <c r="B214" s="25" t="s">
        <v>263</v>
      </c>
      <c r="C214" s="26">
        <v>1.4</v>
      </c>
      <c r="D214" s="27">
        <v>0.92</v>
      </c>
    </row>
    <row r="215" spans="2:4" ht="15" customHeight="1" x14ac:dyDescent="0.2">
      <c r="B215" s="25" t="s">
        <v>264</v>
      </c>
      <c r="C215" s="26">
        <v>1.26</v>
      </c>
      <c r="D215" s="27">
        <v>0.93</v>
      </c>
    </row>
    <row r="216" spans="2:4" ht="15" customHeight="1" x14ac:dyDescent="0.2">
      <c r="B216" s="25" t="s">
        <v>265</v>
      </c>
      <c r="C216" s="26">
        <v>1.27</v>
      </c>
      <c r="D216" s="27">
        <v>0.8</v>
      </c>
    </row>
    <row r="217" spans="2:4" ht="15" customHeight="1" x14ac:dyDescent="0.2">
      <c r="B217" s="163" t="s">
        <v>213</v>
      </c>
      <c r="C217" s="164"/>
      <c r="D217" s="28">
        <f>PRODUCT(C214:C216)</f>
        <v>2.2402799999999998</v>
      </c>
    </row>
    <row r="218" spans="2:4" ht="15" customHeight="1" x14ac:dyDescent="0.2">
      <c r="B218" s="163" t="s">
        <v>214</v>
      </c>
      <c r="C218" s="164"/>
      <c r="D218" s="29">
        <f>PRODUCT(D214:D216)</f>
        <v>0.68448000000000009</v>
      </c>
    </row>
    <row r="219" spans="2:4" ht="15" customHeight="1" x14ac:dyDescent="0.2">
      <c r="B219" s="163" t="s">
        <v>215</v>
      </c>
      <c r="C219" s="164"/>
      <c r="D219" s="30">
        <f>$D$210</f>
        <v>141109.84962743113</v>
      </c>
    </row>
    <row r="220" spans="2:4" ht="15" customHeight="1" x14ac:dyDescent="0.2">
      <c r="B220" s="1" t="s">
        <v>216</v>
      </c>
      <c r="C220" s="31" t="s">
        <v>217</v>
      </c>
      <c r="D220" s="31" t="s">
        <v>218</v>
      </c>
    </row>
    <row r="221" spans="2:4" ht="15" customHeight="1" x14ac:dyDescent="0.2">
      <c r="B221" s="32" t="s">
        <v>219</v>
      </c>
      <c r="C221" s="33">
        <f>MAX(0,MIN(1,((D218*D217-1)/(D217-1))*0.5))</f>
        <v>0.2150429154707002</v>
      </c>
      <c r="D221" s="34">
        <f>D219*C221</f>
        <v>30344.67346551489</v>
      </c>
    </row>
    <row r="222" spans="2:4" ht="15" customHeight="1" x14ac:dyDescent="0.2">
      <c r="B222" s="32" t="s">
        <v>220</v>
      </c>
      <c r="C222" s="33">
        <f>MAX(0,MIN(1,((D218*D217-1)/(D217-1))*0.666666666666667))</f>
        <v>0.28672388729426707</v>
      </c>
      <c r="D222" s="34">
        <f>D219*C222</f>
        <v>40459.564620686535</v>
      </c>
    </row>
    <row r="223" spans="2:4" ht="15" customHeight="1" x14ac:dyDescent="0.2">
      <c r="B223" s="32" t="s">
        <v>221</v>
      </c>
      <c r="C223" s="33">
        <f>MAX(0,MIN(1,((D218*D217-1)/(D217-1))*1))</f>
        <v>0.4300858309414004</v>
      </c>
      <c r="D223" s="34">
        <f>D219*C223</f>
        <v>60689.346931029781</v>
      </c>
    </row>
    <row r="224" spans="2:4" ht="15" customHeight="1" x14ac:dyDescent="0.2">
      <c r="B224" s="163" t="s">
        <v>222</v>
      </c>
      <c r="C224" s="164"/>
      <c r="D224" s="35">
        <v>1</v>
      </c>
    </row>
    <row r="225" spans="2:4" ht="15" customHeight="1" x14ac:dyDescent="0.2">
      <c r="B225" s="163" t="s">
        <v>223</v>
      </c>
      <c r="C225" s="164"/>
      <c r="D225" s="30">
        <f>D219*D224</f>
        <v>141109.84962743113</v>
      </c>
    </row>
    <row r="226" spans="2:4" ht="15" customHeight="1" x14ac:dyDescent="0.2">
      <c r="B226" s="163" t="s">
        <v>224</v>
      </c>
      <c r="C226" s="164"/>
      <c r="D226" s="36">
        <v>1</v>
      </c>
    </row>
    <row r="227" spans="2:4" ht="15" customHeight="1" x14ac:dyDescent="0.2">
      <c r="B227" s="163" t="s">
        <v>225</v>
      </c>
      <c r="C227" s="164"/>
      <c r="D227" s="30">
        <f>IF(D226=1,D225*D217,0)</f>
        <v>316125.57392334141</v>
      </c>
    </row>
    <row r="228" spans="2:4" ht="15" customHeight="1" x14ac:dyDescent="0.2">
      <c r="B228" s="165" t="s">
        <v>226</v>
      </c>
      <c r="C228" s="164"/>
      <c r="D228" s="37">
        <f>D219-D225+D227</f>
        <v>316125.57392334141</v>
      </c>
    </row>
    <row r="230" spans="2:4" ht="19.5" customHeight="1" x14ac:dyDescent="0.2">
      <c r="B230" s="166" t="s">
        <v>266</v>
      </c>
      <c r="C230" s="143"/>
      <c r="D230" s="143"/>
    </row>
    <row r="231" spans="2:4" ht="15" customHeight="1" x14ac:dyDescent="0.2">
      <c r="B231" s="24" t="s">
        <v>210</v>
      </c>
      <c r="C231" s="24" t="s">
        <v>105</v>
      </c>
      <c r="D231" s="24" t="s">
        <v>211</v>
      </c>
    </row>
    <row r="232" spans="2:4" ht="15" customHeight="1" x14ac:dyDescent="0.2">
      <c r="B232" s="25" t="s">
        <v>267</v>
      </c>
      <c r="C232" s="26">
        <v>1.34</v>
      </c>
      <c r="D232" s="27">
        <v>0.84</v>
      </c>
    </row>
    <row r="233" spans="2:4" ht="15" customHeight="1" x14ac:dyDescent="0.2">
      <c r="B233" s="163" t="s">
        <v>213</v>
      </c>
      <c r="C233" s="164"/>
      <c r="D233" s="28">
        <f>PRODUCT(C232)</f>
        <v>1.34</v>
      </c>
    </row>
    <row r="234" spans="2:4" ht="15" customHeight="1" x14ac:dyDescent="0.2">
      <c r="B234" s="163" t="s">
        <v>214</v>
      </c>
      <c r="C234" s="164"/>
      <c r="D234" s="29">
        <f>PRODUCT(D232)</f>
        <v>0.84</v>
      </c>
    </row>
    <row r="235" spans="2:4" ht="15" customHeight="1" x14ac:dyDescent="0.2">
      <c r="B235" s="163" t="s">
        <v>215</v>
      </c>
      <c r="C235" s="164"/>
      <c r="D235" s="30">
        <f>$D$228</f>
        <v>316125.57392334141</v>
      </c>
    </row>
    <row r="236" spans="2:4" ht="15" customHeight="1" x14ac:dyDescent="0.2">
      <c r="B236" s="1" t="s">
        <v>216</v>
      </c>
      <c r="C236" s="31" t="s">
        <v>217</v>
      </c>
      <c r="D236" s="31" t="s">
        <v>218</v>
      </c>
    </row>
    <row r="237" spans="2:4" ht="15" customHeight="1" x14ac:dyDescent="0.2">
      <c r="B237" s="32" t="s">
        <v>219</v>
      </c>
      <c r="C237" s="33">
        <f>MAX(0,MIN(1,((D234*D233-1)/(D233-1))*0.5))</f>
        <v>0.18470588235294103</v>
      </c>
      <c r="D237" s="34">
        <f>D235*C237</f>
        <v>58390.253065840661</v>
      </c>
    </row>
    <row r="238" spans="2:4" ht="15" customHeight="1" x14ac:dyDescent="0.2">
      <c r="B238" s="32" t="s">
        <v>220</v>
      </c>
      <c r="C238" s="33">
        <f>MAX(0,MIN(1,((D234*D233-1)/(D233-1))*0.666666666666667))</f>
        <v>0.24627450980392149</v>
      </c>
      <c r="D238" s="34">
        <f>D235*C238</f>
        <v>77853.670754454244</v>
      </c>
    </row>
    <row r="239" spans="2:4" ht="15" customHeight="1" x14ac:dyDescent="0.2">
      <c r="B239" s="32" t="s">
        <v>221</v>
      </c>
      <c r="C239" s="33">
        <f>MAX(0,MIN(1,((D234*D233-1)/(D233-1))*1))</f>
        <v>0.36941176470588205</v>
      </c>
      <c r="D239" s="34">
        <f>D235*C239</f>
        <v>116780.50613168132</v>
      </c>
    </row>
    <row r="240" spans="2:4" ht="15" customHeight="1" x14ac:dyDescent="0.2">
      <c r="B240" s="163" t="s">
        <v>222</v>
      </c>
      <c r="C240" s="164"/>
      <c r="D240" s="35">
        <v>1</v>
      </c>
    </row>
    <row r="241" spans="2:4" ht="15" customHeight="1" x14ac:dyDescent="0.2">
      <c r="B241" s="163" t="s">
        <v>223</v>
      </c>
      <c r="C241" s="164"/>
      <c r="D241" s="30">
        <f>D235*D240</f>
        <v>316125.57392334141</v>
      </c>
    </row>
    <row r="242" spans="2:4" ht="15" customHeight="1" x14ac:dyDescent="0.2">
      <c r="B242" s="163" t="s">
        <v>224</v>
      </c>
      <c r="C242" s="164"/>
      <c r="D242" s="36">
        <v>1</v>
      </c>
    </row>
    <row r="243" spans="2:4" ht="15" customHeight="1" x14ac:dyDescent="0.2">
      <c r="B243" s="163" t="s">
        <v>225</v>
      </c>
      <c r="C243" s="164"/>
      <c r="D243" s="30">
        <f>IF(D242=1,D241*D233,0)</f>
        <v>423608.26905727753</v>
      </c>
    </row>
    <row r="244" spans="2:4" ht="15" customHeight="1" x14ac:dyDescent="0.2">
      <c r="B244" s="165" t="s">
        <v>226</v>
      </c>
      <c r="C244" s="164"/>
      <c r="D244" s="37">
        <f>D235-D241+D243</f>
        <v>423608.26905727753</v>
      </c>
    </row>
    <row r="246" spans="2:4" ht="19.5" customHeight="1" x14ac:dyDescent="0.2">
      <c r="B246" s="166" t="s">
        <v>268</v>
      </c>
      <c r="C246" s="143"/>
      <c r="D246" s="143"/>
    </row>
    <row r="247" spans="2:4" ht="15" customHeight="1" x14ac:dyDescent="0.2">
      <c r="B247" s="24" t="s">
        <v>210</v>
      </c>
      <c r="C247" s="24" t="s">
        <v>105</v>
      </c>
      <c r="D247" s="24" t="s">
        <v>211</v>
      </c>
    </row>
    <row r="248" spans="2:4" ht="15" customHeight="1" x14ac:dyDescent="0.2">
      <c r="B248" s="25" t="s">
        <v>269</v>
      </c>
      <c r="C248" s="26">
        <v>1.47</v>
      </c>
      <c r="D248" s="27">
        <v>0.73</v>
      </c>
    </row>
    <row r="249" spans="2:4" ht="15" customHeight="1" x14ac:dyDescent="0.2">
      <c r="B249" s="25" t="s">
        <v>270</v>
      </c>
      <c r="C249" s="26">
        <v>1.3</v>
      </c>
      <c r="D249" s="27">
        <v>0.86</v>
      </c>
    </row>
    <row r="250" spans="2:4" ht="15" customHeight="1" x14ac:dyDescent="0.2">
      <c r="B250" s="163" t="s">
        <v>213</v>
      </c>
      <c r="C250" s="164"/>
      <c r="D250" s="28">
        <f>PRODUCT(C248:C249)</f>
        <v>1.911</v>
      </c>
    </row>
    <row r="251" spans="2:4" ht="15" customHeight="1" x14ac:dyDescent="0.2">
      <c r="B251" s="163" t="s">
        <v>214</v>
      </c>
      <c r="C251" s="164"/>
      <c r="D251" s="29">
        <f>PRODUCT(D248:D249)</f>
        <v>0.62780000000000002</v>
      </c>
    </row>
    <row r="252" spans="2:4" ht="15" customHeight="1" x14ac:dyDescent="0.2">
      <c r="B252" s="163" t="s">
        <v>215</v>
      </c>
      <c r="C252" s="164"/>
      <c r="D252" s="30">
        <f>$D$244</f>
        <v>423608.26905727753</v>
      </c>
    </row>
    <row r="253" spans="2:4" ht="15" customHeight="1" x14ac:dyDescent="0.2">
      <c r="B253" s="1" t="s">
        <v>216</v>
      </c>
      <c r="C253" s="31" t="s">
        <v>217</v>
      </c>
      <c r="D253" s="31" t="s">
        <v>218</v>
      </c>
    </row>
    <row r="254" spans="2:4" ht="15" customHeight="1" x14ac:dyDescent="0.2">
      <c r="B254" s="32" t="s">
        <v>219</v>
      </c>
      <c r="C254" s="33">
        <f>MAX(0,MIN(1,((D251*D250-1)/(D250-1))*0.5))</f>
        <v>0.10961899012074652</v>
      </c>
      <c r="D254" s="34">
        <f>D252*C254</f>
        <v>46435.510660856242</v>
      </c>
    </row>
    <row r="255" spans="2:4" ht="15" customHeight="1" x14ac:dyDescent="0.2">
      <c r="B255" s="32" t="s">
        <v>220</v>
      </c>
      <c r="C255" s="33">
        <f>MAX(0,MIN(1,((D251*D250-1)/(D250-1))*0.666666666666667))</f>
        <v>0.14615865349432877</v>
      </c>
      <c r="D255" s="34">
        <f>D252*C255</f>
        <v>61914.014214475021</v>
      </c>
    </row>
    <row r="256" spans="2:4" ht="15" customHeight="1" x14ac:dyDescent="0.2">
      <c r="B256" s="32" t="s">
        <v>221</v>
      </c>
      <c r="C256" s="33">
        <f>MAX(0,MIN(1,((D251*D250-1)/(D250-1))*1))</f>
        <v>0.21923798024149305</v>
      </c>
      <c r="D256" s="34">
        <f>D252*C256</f>
        <v>92871.021321712484</v>
      </c>
    </row>
    <row r="257" spans="2:4" ht="15" customHeight="1" x14ac:dyDescent="0.2">
      <c r="B257" s="163" t="s">
        <v>222</v>
      </c>
      <c r="C257" s="164"/>
      <c r="D257" s="35">
        <v>1</v>
      </c>
    </row>
    <row r="258" spans="2:4" ht="15" customHeight="1" x14ac:dyDescent="0.2">
      <c r="B258" s="163" t="s">
        <v>223</v>
      </c>
      <c r="C258" s="164"/>
      <c r="D258" s="30">
        <f>D252*D257</f>
        <v>423608.26905727753</v>
      </c>
    </row>
    <row r="259" spans="2:4" ht="15" customHeight="1" x14ac:dyDescent="0.2">
      <c r="B259" s="163" t="s">
        <v>224</v>
      </c>
      <c r="C259" s="164"/>
      <c r="D259" s="36">
        <v>1</v>
      </c>
    </row>
    <row r="260" spans="2:4" ht="15" customHeight="1" x14ac:dyDescent="0.2">
      <c r="B260" s="163" t="s">
        <v>225</v>
      </c>
      <c r="C260" s="164"/>
      <c r="D260" s="30">
        <f>IF(D259=1,D258*D250,0)</f>
        <v>809515.4021684574</v>
      </c>
    </row>
    <row r="261" spans="2:4" ht="15" customHeight="1" x14ac:dyDescent="0.2">
      <c r="B261" s="165" t="s">
        <v>226</v>
      </c>
      <c r="C261" s="164"/>
      <c r="D261" s="37">
        <f>D252-D258+D260</f>
        <v>809515.4021684574</v>
      </c>
    </row>
    <row r="263" spans="2:4" ht="19.5" customHeight="1" x14ac:dyDescent="0.2">
      <c r="B263" s="166" t="s">
        <v>271</v>
      </c>
      <c r="C263" s="143"/>
      <c r="D263" s="143"/>
    </row>
    <row r="264" spans="2:4" ht="15" customHeight="1" x14ac:dyDescent="0.2">
      <c r="B264" s="24" t="s">
        <v>210</v>
      </c>
      <c r="C264" s="24" t="s">
        <v>105</v>
      </c>
      <c r="D264" s="24" t="s">
        <v>211</v>
      </c>
    </row>
    <row r="265" spans="2:4" ht="15" customHeight="1" x14ac:dyDescent="0.2">
      <c r="B265" s="25" t="s">
        <v>272</v>
      </c>
      <c r="C265" s="26">
        <v>1.2</v>
      </c>
      <c r="D265" s="27">
        <v>0.95</v>
      </c>
    </row>
    <row r="266" spans="2:4" ht="15" customHeight="1" x14ac:dyDescent="0.2">
      <c r="B266" s="25" t="s">
        <v>273</v>
      </c>
      <c r="C266" s="26">
        <v>1.2</v>
      </c>
      <c r="D266" s="27">
        <v>0.91</v>
      </c>
    </row>
    <row r="267" spans="2:4" ht="15" customHeight="1" x14ac:dyDescent="0.2">
      <c r="B267" s="163" t="s">
        <v>213</v>
      </c>
      <c r="C267" s="164"/>
      <c r="D267" s="28">
        <f>PRODUCT(C265:C266)</f>
        <v>1.44</v>
      </c>
    </row>
    <row r="268" spans="2:4" ht="15" customHeight="1" x14ac:dyDescent="0.2">
      <c r="B268" s="163" t="s">
        <v>214</v>
      </c>
      <c r="C268" s="164"/>
      <c r="D268" s="29">
        <f>PRODUCT(D265:D266)</f>
        <v>0.86449999999999994</v>
      </c>
    </row>
    <row r="269" spans="2:4" ht="15" customHeight="1" x14ac:dyDescent="0.2">
      <c r="B269" s="163" t="s">
        <v>215</v>
      </c>
      <c r="C269" s="164"/>
      <c r="D269" s="30">
        <f>$D$261</f>
        <v>809515.4021684574</v>
      </c>
    </row>
    <row r="270" spans="2:4" ht="15" customHeight="1" x14ac:dyDescent="0.2">
      <c r="B270" s="1" t="s">
        <v>216</v>
      </c>
      <c r="C270" s="31" t="s">
        <v>217</v>
      </c>
      <c r="D270" s="31" t="s">
        <v>218</v>
      </c>
    </row>
    <row r="271" spans="2:4" ht="15" customHeight="1" x14ac:dyDescent="0.2">
      <c r="B271" s="32" t="s">
        <v>219</v>
      </c>
      <c r="C271" s="33">
        <f>MAX(0,MIN(1,((D268*D267-1)/(D267-1))*0.5))</f>
        <v>0.27827272727272706</v>
      </c>
      <c r="D271" s="34">
        <f>D269*C271</f>
        <v>225266.05873069511</v>
      </c>
    </row>
    <row r="272" spans="2:4" ht="15" customHeight="1" x14ac:dyDescent="0.2">
      <c r="B272" s="32" t="s">
        <v>220</v>
      </c>
      <c r="C272" s="33">
        <f>MAX(0,MIN(1,((D268*D267-1)/(D267-1))*0.666666666666667))</f>
        <v>0.37103030303030293</v>
      </c>
      <c r="D272" s="34">
        <f>D269*C272</f>
        <v>300354.74497426028</v>
      </c>
    </row>
    <row r="273" spans="2:4" ht="15" customHeight="1" x14ac:dyDescent="0.2">
      <c r="B273" s="32" t="s">
        <v>221</v>
      </c>
      <c r="C273" s="33">
        <f>MAX(0,MIN(1,((D268*D267-1)/(D267-1))*1))</f>
        <v>0.55654545454545412</v>
      </c>
      <c r="D273" s="34">
        <f>D269*C273</f>
        <v>450532.11746139021</v>
      </c>
    </row>
    <row r="274" spans="2:4" ht="15" customHeight="1" x14ac:dyDescent="0.2">
      <c r="B274" s="163" t="s">
        <v>222</v>
      </c>
      <c r="C274" s="164"/>
      <c r="D274" s="35">
        <v>1</v>
      </c>
    </row>
    <row r="275" spans="2:4" ht="15" customHeight="1" x14ac:dyDescent="0.2">
      <c r="B275" s="163" t="s">
        <v>223</v>
      </c>
      <c r="C275" s="164"/>
      <c r="D275" s="30">
        <f>D269*D274</f>
        <v>809515.4021684574</v>
      </c>
    </row>
    <row r="276" spans="2:4" ht="15" customHeight="1" x14ac:dyDescent="0.2">
      <c r="B276" s="163" t="s">
        <v>224</v>
      </c>
      <c r="C276" s="164"/>
      <c r="D276" s="36">
        <v>1</v>
      </c>
    </row>
    <row r="277" spans="2:4" ht="15" customHeight="1" x14ac:dyDescent="0.2">
      <c r="B277" s="163" t="s">
        <v>225</v>
      </c>
      <c r="C277" s="164"/>
      <c r="D277" s="30">
        <f>IF(D276=1,D275*D267,0)</f>
        <v>1165702.1791225786</v>
      </c>
    </row>
    <row r="278" spans="2:4" ht="15" customHeight="1" x14ac:dyDescent="0.2">
      <c r="B278" s="165" t="s">
        <v>226</v>
      </c>
      <c r="C278" s="164"/>
      <c r="D278" s="37">
        <f>D269-D275+D277</f>
        <v>1165702.1791225786</v>
      </c>
    </row>
    <row r="280" spans="2:4" ht="15" customHeight="1" x14ac:dyDescent="0.2">
      <c r="B280" s="169" t="s">
        <v>274</v>
      </c>
      <c r="C280" s="164"/>
      <c r="D280" s="38">
        <f>$D$278</f>
        <v>1165702.1791225786</v>
      </c>
    </row>
    <row r="282" spans="2:4" ht="69.75" customHeight="1" x14ac:dyDescent="0.2">
      <c r="B282" s="167" t="s">
        <v>275</v>
      </c>
      <c r="C282" s="143"/>
      <c r="D282" s="143"/>
    </row>
  </sheetData>
  <mergeCells count="149">
    <mergeCell ref="B2:D2"/>
    <mergeCell ref="B113:C113"/>
    <mergeCell ref="B10:C10"/>
    <mergeCell ref="B137:C137"/>
    <mergeCell ref="B226:C226"/>
    <mergeCell ref="B260:C260"/>
    <mergeCell ref="B217:C217"/>
    <mergeCell ref="B7:D7"/>
    <mergeCell ref="B269:C269"/>
    <mergeCell ref="B3:D3"/>
    <mergeCell ref="B68:C68"/>
    <mergeCell ref="B139:C139"/>
    <mergeCell ref="B201:C201"/>
    <mergeCell ref="B114:C114"/>
    <mergeCell ref="B123:C123"/>
    <mergeCell ref="B36:C36"/>
    <mergeCell ref="B207:C207"/>
    <mergeCell ref="B50:C50"/>
    <mergeCell ref="B5:C5"/>
    <mergeCell ref="B20:C20"/>
    <mergeCell ref="B189:C189"/>
    <mergeCell ref="B251:C251"/>
    <mergeCell ref="B45:C45"/>
    <mergeCell ref="B85:C85"/>
    <mergeCell ref="B173:C173"/>
    <mergeCell ref="B188:C188"/>
    <mergeCell ref="B280:C280"/>
    <mergeCell ref="B218:C218"/>
    <mergeCell ref="B62:C62"/>
    <mergeCell ref="B233:C233"/>
    <mergeCell ref="B227:C227"/>
    <mergeCell ref="B190:C190"/>
    <mergeCell ref="B152:C152"/>
    <mergeCell ref="B70:C70"/>
    <mergeCell ref="B219:C219"/>
    <mergeCell ref="B244:C244"/>
    <mergeCell ref="B259:C259"/>
    <mergeCell ref="B136:C136"/>
    <mergeCell ref="B246:D246"/>
    <mergeCell ref="B40:D40"/>
    <mergeCell ref="B145:C145"/>
    <mergeCell ref="B181:C181"/>
    <mergeCell ref="B282:D282"/>
    <mergeCell ref="B89:C89"/>
    <mergeCell ref="B263:D263"/>
    <mergeCell ref="B79:C79"/>
    <mergeCell ref="B97:C97"/>
    <mergeCell ref="B153:C153"/>
    <mergeCell ref="B242:C242"/>
    <mergeCell ref="B224:C224"/>
    <mergeCell ref="B54:C54"/>
    <mergeCell ref="B199:C199"/>
    <mergeCell ref="B208:C208"/>
    <mergeCell ref="B121:C121"/>
    <mergeCell ref="B122:C122"/>
    <mergeCell ref="B96:C96"/>
    <mergeCell ref="B71:C71"/>
    <mergeCell ref="B105:C105"/>
    <mergeCell ref="B276:C276"/>
    <mergeCell ref="B228:C228"/>
    <mergeCell ref="B210:C210"/>
    <mergeCell ref="B120:C120"/>
    <mergeCell ref="B98:C98"/>
    <mergeCell ref="B107:C107"/>
    <mergeCell ref="B278:C278"/>
    <mergeCell ref="B60:C60"/>
    <mergeCell ref="B11:C11"/>
    <mergeCell ref="B240:C240"/>
    <mergeCell ref="B250:C250"/>
    <mergeCell ref="B53:C53"/>
    <mergeCell ref="B166:C166"/>
    <mergeCell ref="B119:C119"/>
    <mergeCell ref="B29:C29"/>
    <mergeCell ref="B103:C103"/>
    <mergeCell ref="B37:C37"/>
    <mergeCell ref="B174:C174"/>
    <mergeCell ref="B109:D109"/>
    <mergeCell ref="B193:D193"/>
    <mergeCell ref="B80:C80"/>
    <mergeCell ref="B23:D23"/>
    <mergeCell ref="B43:C43"/>
    <mergeCell ref="B52:C52"/>
    <mergeCell ref="B17:C17"/>
    <mergeCell ref="B177:D177"/>
    <mergeCell ref="B88:C88"/>
    <mergeCell ref="B171:C171"/>
    <mergeCell ref="B44:C44"/>
    <mergeCell ref="B212:D212"/>
    <mergeCell ref="B19:C19"/>
    <mergeCell ref="B34:C34"/>
    <mergeCell ref="B277:C277"/>
    <mergeCell ref="B106:C106"/>
    <mergeCell ref="B129:C129"/>
    <mergeCell ref="B200:C200"/>
    <mergeCell ref="B138:C138"/>
    <mergeCell ref="B252:C252"/>
    <mergeCell ref="B209:C209"/>
    <mergeCell ref="B261:C261"/>
    <mergeCell ref="B156:C156"/>
    <mergeCell ref="B131:C131"/>
    <mergeCell ref="B140:C140"/>
    <mergeCell ref="B180:C180"/>
    <mergeCell ref="B130:C130"/>
    <mergeCell ref="B257:C257"/>
    <mergeCell ref="B172:C172"/>
    <mergeCell ref="B146:C146"/>
    <mergeCell ref="B234:C234"/>
    <mergeCell ref="B187:C187"/>
    <mergeCell ref="B241:C241"/>
    <mergeCell ref="B225:C225"/>
    <mergeCell ref="B274:C274"/>
    <mergeCell ref="B175:C175"/>
    <mergeCell ref="B258:C258"/>
    <mergeCell ref="B147:C147"/>
    <mergeCell ref="B243:C243"/>
    <mergeCell ref="B125:D125"/>
    <mergeCell ref="B104:C104"/>
    <mergeCell ref="B275:C275"/>
    <mergeCell ref="B51:C51"/>
    <mergeCell ref="B164:C164"/>
    <mergeCell ref="B56:D56"/>
    <mergeCell ref="B154:C154"/>
    <mergeCell ref="B268:C268"/>
    <mergeCell ref="B206:C206"/>
    <mergeCell ref="B73:D73"/>
    <mergeCell ref="B91:D91"/>
    <mergeCell ref="B87:C87"/>
    <mergeCell ref="B267:C267"/>
    <mergeCell ref="B165:C165"/>
    <mergeCell ref="B155:C155"/>
    <mergeCell ref="B12:C12"/>
    <mergeCell ref="B21:C21"/>
    <mergeCell ref="B86:C86"/>
    <mergeCell ref="B230:D230"/>
    <mergeCell ref="B235:C235"/>
    <mergeCell ref="B67:C67"/>
    <mergeCell ref="B61:C61"/>
    <mergeCell ref="B158:D158"/>
    <mergeCell ref="B69:C69"/>
    <mergeCell ref="B142:D142"/>
    <mergeCell ref="B38:C38"/>
    <mergeCell ref="B182:C182"/>
    <mergeCell ref="B78:C78"/>
    <mergeCell ref="B191:C191"/>
    <mergeCell ref="B112:C112"/>
    <mergeCell ref="B35:C35"/>
    <mergeCell ref="B27:C27"/>
    <mergeCell ref="B18:C18"/>
    <mergeCell ref="B28:C28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E19"/>
  <sheetViews>
    <sheetView showGridLines="0" zoomScaleNormal="100" workbookViewId="0"/>
  </sheetViews>
  <sheetFormatPr baseColWidth="10" defaultColWidth="8.6640625" defaultRowHeight="15" x14ac:dyDescent="0.2"/>
  <cols>
    <col min="1" max="1" width="2" customWidth="1"/>
    <col min="2" max="2" width="34" customWidth="1"/>
    <col min="3" max="3" width="15" customWidth="1"/>
    <col min="6" max="6" width="3" customWidth="1"/>
  </cols>
  <sheetData>
    <row r="2" spans="2:5" ht="27.75" customHeight="1" x14ac:dyDescent="0.2">
      <c r="B2" s="174" t="s">
        <v>276</v>
      </c>
      <c r="C2" s="143"/>
      <c r="D2" s="143"/>
      <c r="E2" s="143"/>
    </row>
    <row r="3" spans="2:5" ht="31.5" customHeight="1" x14ac:dyDescent="0.2">
      <c r="B3" s="170" t="s">
        <v>277</v>
      </c>
      <c r="C3" s="143"/>
      <c r="D3" s="143"/>
      <c r="E3" s="143"/>
    </row>
    <row r="5" spans="2:5" ht="30" customHeight="1" x14ac:dyDescent="0.2">
      <c r="B5" s="39" t="s">
        <v>278</v>
      </c>
      <c r="C5" s="40" t="s">
        <v>279</v>
      </c>
      <c r="D5" s="41" t="s">
        <v>220</v>
      </c>
      <c r="E5" s="42" t="s">
        <v>221</v>
      </c>
    </row>
    <row r="6" spans="2:5" ht="21.75" customHeight="1" x14ac:dyDescent="0.2">
      <c r="B6" s="43" t="s">
        <v>280</v>
      </c>
      <c r="C6" s="44" t="s">
        <v>281</v>
      </c>
      <c r="D6" s="45" t="s">
        <v>282</v>
      </c>
      <c r="E6" s="46" t="s">
        <v>283</v>
      </c>
    </row>
    <row r="7" spans="2:5" ht="21.75" customHeight="1" x14ac:dyDescent="0.2">
      <c r="B7" s="47" t="s">
        <v>284</v>
      </c>
      <c r="C7" s="44" t="s">
        <v>285</v>
      </c>
      <c r="D7" s="45" t="s">
        <v>286</v>
      </c>
      <c r="E7" s="46" t="s">
        <v>287</v>
      </c>
    </row>
    <row r="8" spans="2:5" ht="21.75" customHeight="1" x14ac:dyDescent="0.2">
      <c r="B8" s="43" t="s">
        <v>288</v>
      </c>
      <c r="C8" s="44" t="s">
        <v>289</v>
      </c>
      <c r="D8" s="45" t="s">
        <v>289</v>
      </c>
      <c r="E8" s="46" t="s">
        <v>290</v>
      </c>
    </row>
    <row r="9" spans="2:5" ht="21.75" customHeight="1" x14ac:dyDescent="0.2">
      <c r="B9" s="47" t="s">
        <v>291</v>
      </c>
      <c r="C9" s="44" t="s">
        <v>292</v>
      </c>
      <c r="D9" s="45" t="s">
        <v>293</v>
      </c>
      <c r="E9" s="46" t="s">
        <v>294</v>
      </c>
    </row>
    <row r="10" spans="2:5" ht="21.75" customHeight="1" x14ac:dyDescent="0.2">
      <c r="B10" s="43" t="s">
        <v>295</v>
      </c>
      <c r="C10" s="44" t="s">
        <v>296</v>
      </c>
      <c r="D10" s="45" t="s">
        <v>297</v>
      </c>
      <c r="E10" s="46" t="s">
        <v>298</v>
      </c>
    </row>
    <row r="12" spans="2:5" ht="15" customHeight="1" x14ac:dyDescent="0.2">
      <c r="B12" s="173" t="s">
        <v>299</v>
      </c>
      <c r="C12" s="143"/>
      <c r="D12" s="143"/>
      <c r="E12" s="143"/>
    </row>
    <row r="13" spans="2:5" ht="30" customHeight="1" x14ac:dyDescent="0.2">
      <c r="B13" s="172" t="s">
        <v>300</v>
      </c>
      <c r="C13" s="143"/>
      <c r="D13" s="143"/>
      <c r="E13" s="143"/>
    </row>
    <row r="14" spans="2:5" ht="30" customHeight="1" x14ac:dyDescent="0.2">
      <c r="B14" s="172" t="s">
        <v>301</v>
      </c>
      <c r="C14" s="143"/>
      <c r="D14" s="143"/>
      <c r="E14" s="143"/>
    </row>
    <row r="15" spans="2:5" ht="30" customHeight="1" x14ac:dyDescent="0.2">
      <c r="B15" s="172" t="s">
        <v>302</v>
      </c>
      <c r="C15" s="143"/>
      <c r="D15" s="143"/>
      <c r="E15" s="143"/>
    </row>
    <row r="16" spans="2:5" ht="30" customHeight="1" x14ac:dyDescent="0.2">
      <c r="B16" s="172" t="s">
        <v>303</v>
      </c>
      <c r="C16" s="143"/>
      <c r="D16" s="143"/>
      <c r="E16" s="143"/>
    </row>
    <row r="17" spans="2:5" ht="30" customHeight="1" x14ac:dyDescent="0.2">
      <c r="B17" s="172" t="s">
        <v>304</v>
      </c>
      <c r="C17" s="143"/>
      <c r="D17" s="143"/>
      <c r="E17" s="143"/>
    </row>
    <row r="19" spans="2:5" ht="33.75" customHeight="1" x14ac:dyDescent="0.2">
      <c r="B19" s="175" t="s">
        <v>305</v>
      </c>
      <c r="C19" s="176"/>
      <c r="D19" s="176"/>
      <c r="E19" s="176"/>
    </row>
  </sheetData>
  <mergeCells count="9">
    <mergeCell ref="B3:E3"/>
    <mergeCell ref="B2:E2"/>
    <mergeCell ref="B19:E19"/>
    <mergeCell ref="B14:E14"/>
    <mergeCell ref="B17:E17"/>
    <mergeCell ref="B12:E12"/>
    <mergeCell ref="B13:E13"/>
    <mergeCell ref="B16:E16"/>
    <mergeCell ref="B15:E1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J26"/>
  <sheetViews>
    <sheetView showGridLines="0"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baseColWidth="10" defaultColWidth="8.6640625" defaultRowHeight="15" x14ac:dyDescent="0.2"/>
  <cols>
    <col min="1" max="1" width="2" customWidth="1"/>
    <col min="2" max="2" width="6" customWidth="1"/>
    <col min="3" max="3" width="8" customWidth="1"/>
    <col min="4" max="4" width="11" customWidth="1"/>
    <col min="5" max="5" width="10" customWidth="1"/>
    <col min="6" max="6" width="9" customWidth="1"/>
    <col min="7" max="7" width="15" customWidth="1"/>
    <col min="8" max="8" width="14" customWidth="1"/>
    <col min="10" max="10" width="16" customWidth="1"/>
  </cols>
  <sheetData>
    <row r="2" spans="2:10" ht="25.5" customHeight="1" x14ac:dyDescent="0.2">
      <c r="B2" s="179" t="s">
        <v>306</v>
      </c>
      <c r="C2" s="143"/>
      <c r="D2" s="143"/>
      <c r="E2" s="143"/>
      <c r="F2" s="143"/>
      <c r="G2" s="143"/>
      <c r="H2" s="143"/>
      <c r="I2" s="143"/>
      <c r="J2" s="143"/>
    </row>
    <row r="3" spans="2:10" ht="25.5" customHeight="1" x14ac:dyDescent="0.2">
      <c r="B3" s="170" t="s">
        <v>307</v>
      </c>
      <c r="C3" s="143"/>
      <c r="D3" s="143"/>
      <c r="E3" s="143"/>
      <c r="F3" s="143"/>
      <c r="G3" s="143"/>
      <c r="H3" s="143"/>
      <c r="I3" s="143"/>
      <c r="J3" s="143"/>
    </row>
    <row r="5" spans="2:10" ht="15" customHeight="1" x14ac:dyDescent="0.2">
      <c r="B5" s="178" t="s">
        <v>308</v>
      </c>
      <c r="C5" s="176"/>
      <c r="D5" s="176"/>
      <c r="E5" s="23">
        <v>100</v>
      </c>
    </row>
    <row r="7" spans="2:10" ht="27.75" customHeight="1" x14ac:dyDescent="0.2">
      <c r="B7" s="24" t="s">
        <v>309</v>
      </c>
      <c r="C7" s="24" t="s">
        <v>310</v>
      </c>
      <c r="D7" s="24" t="s">
        <v>311</v>
      </c>
      <c r="E7" s="24" t="s">
        <v>312</v>
      </c>
      <c r="F7" s="24" t="s">
        <v>313</v>
      </c>
      <c r="G7" s="24" t="s">
        <v>314</v>
      </c>
      <c r="H7" s="24" t="s">
        <v>315</v>
      </c>
      <c r="I7" s="24" t="s">
        <v>316</v>
      </c>
      <c r="J7" s="24" t="s">
        <v>317</v>
      </c>
    </row>
    <row r="8" spans="2:10" ht="15" customHeight="1" x14ac:dyDescent="0.2">
      <c r="B8" s="48">
        <v>1</v>
      </c>
      <c r="C8" s="48" t="s">
        <v>318</v>
      </c>
      <c r="D8" s="49">
        <v>1.45</v>
      </c>
      <c r="E8" s="29">
        <v>0.75</v>
      </c>
      <c r="F8" s="29">
        <f t="shared" ref="F8:F23" si="0">MAX(0,MIN(1,((E8*D8-1)/(D8-1))*0.5))</f>
        <v>9.7222222222222127E-2</v>
      </c>
      <c r="G8" s="30">
        <f>$E$5</f>
        <v>100</v>
      </c>
      <c r="H8" s="30">
        <f t="shared" ref="H8:H23" si="1">G8*F8</f>
        <v>9.7222222222222126</v>
      </c>
      <c r="I8" s="30">
        <f t="shared" ref="I8:I23" si="2">H8*(D8-1)</f>
        <v>4.3749999999999956</v>
      </c>
      <c r="J8" s="50">
        <f t="shared" ref="J8:J23" si="3">G8+I8</f>
        <v>104.375</v>
      </c>
    </row>
    <row r="9" spans="2:10" ht="15" customHeight="1" x14ac:dyDescent="0.2">
      <c r="B9" s="51">
        <v>2</v>
      </c>
      <c r="C9" s="51" t="s">
        <v>319</v>
      </c>
      <c r="D9" s="52">
        <v>2.2679999999999998</v>
      </c>
      <c r="E9" s="53">
        <v>0.67859999999999998</v>
      </c>
      <c r="F9" s="53">
        <f t="shared" si="0"/>
        <v>0.2125649842271293</v>
      </c>
      <c r="G9" s="54">
        <f>$J$8</f>
        <v>104.375</v>
      </c>
      <c r="H9" s="54">
        <f t="shared" si="1"/>
        <v>22.186470228706622</v>
      </c>
      <c r="I9" s="54">
        <f t="shared" si="2"/>
        <v>28.132444249999992</v>
      </c>
      <c r="J9" s="50">
        <f t="shared" si="3"/>
        <v>132.50744424999999</v>
      </c>
    </row>
    <row r="10" spans="2:10" ht="15" customHeight="1" x14ac:dyDescent="0.2">
      <c r="B10" s="48">
        <v>3</v>
      </c>
      <c r="C10" s="48" t="s">
        <v>320</v>
      </c>
      <c r="D10" s="49">
        <v>1.05</v>
      </c>
      <c r="E10" s="29">
        <v>0.98</v>
      </c>
      <c r="F10" s="29">
        <f t="shared" si="0"/>
        <v>0.28999999999999887</v>
      </c>
      <c r="G10" s="30">
        <f>$J$9</f>
        <v>132.50744424999999</v>
      </c>
      <c r="H10" s="30">
        <f t="shared" si="1"/>
        <v>38.427158832499849</v>
      </c>
      <c r="I10" s="30">
        <f t="shared" si="2"/>
        <v>1.9213579416249942</v>
      </c>
      <c r="J10" s="50">
        <f t="shared" si="3"/>
        <v>134.42880219162498</v>
      </c>
    </row>
    <row r="11" spans="2:10" ht="15" customHeight="1" x14ac:dyDescent="0.2">
      <c r="B11" s="51">
        <v>4</v>
      </c>
      <c r="C11" s="51" t="s">
        <v>321</v>
      </c>
      <c r="D11" s="52">
        <v>1.65</v>
      </c>
      <c r="E11" s="53">
        <v>0.653366</v>
      </c>
      <c r="F11" s="53">
        <f t="shared" si="0"/>
        <v>6.004146153846155E-2</v>
      </c>
      <c r="G11" s="54">
        <f>$J$10</f>
        <v>134.42880219162498</v>
      </c>
      <c r="H11" s="54">
        <f t="shared" si="1"/>
        <v>8.0713017564499072</v>
      </c>
      <c r="I11" s="54">
        <f t="shared" si="2"/>
        <v>5.2463461416924391</v>
      </c>
      <c r="J11" s="50">
        <f t="shared" si="3"/>
        <v>139.67514833331742</v>
      </c>
    </row>
    <row r="12" spans="2:10" ht="15" customHeight="1" x14ac:dyDescent="0.2">
      <c r="B12" s="48">
        <v>5</v>
      </c>
      <c r="C12" s="48" t="s">
        <v>322</v>
      </c>
      <c r="D12" s="49">
        <v>2.423</v>
      </c>
      <c r="E12" s="29">
        <v>0.50651400000000002</v>
      </c>
      <c r="F12" s="29">
        <f t="shared" si="0"/>
        <v>7.9860654251581231E-2</v>
      </c>
      <c r="G12" s="30">
        <f>$J$11</f>
        <v>139.67514833331742</v>
      </c>
      <c r="H12" s="30">
        <f t="shared" si="1"/>
        <v>11.154548728585386</v>
      </c>
      <c r="I12" s="30">
        <f t="shared" si="2"/>
        <v>15.872922840777004</v>
      </c>
      <c r="J12" s="50">
        <f t="shared" si="3"/>
        <v>155.54807117409442</v>
      </c>
    </row>
    <row r="13" spans="2:10" ht="15" customHeight="1" x14ac:dyDescent="0.2">
      <c r="B13" s="51">
        <v>6</v>
      </c>
      <c r="C13" s="51" t="s">
        <v>323</v>
      </c>
      <c r="D13" s="52">
        <v>2.3450000000000002</v>
      </c>
      <c r="E13" s="53">
        <v>0.62560000000000004</v>
      </c>
      <c r="F13" s="53">
        <f t="shared" si="0"/>
        <v>0.1736178438661711</v>
      </c>
      <c r="G13" s="54">
        <f>$J$12</f>
        <v>155.54807117409442</v>
      </c>
      <c r="H13" s="54">
        <f t="shared" si="1"/>
        <v>27.005920734787995</v>
      </c>
      <c r="I13" s="54">
        <f t="shared" si="2"/>
        <v>36.322963388289857</v>
      </c>
      <c r="J13" s="50">
        <f t="shared" si="3"/>
        <v>191.87103456238427</v>
      </c>
    </row>
    <row r="14" spans="2:10" ht="15" customHeight="1" x14ac:dyDescent="0.2">
      <c r="B14" s="48">
        <v>7</v>
      </c>
      <c r="C14" s="48" t="s">
        <v>324</v>
      </c>
      <c r="D14" s="49">
        <v>1.27</v>
      </c>
      <c r="E14" s="29">
        <v>0.88</v>
      </c>
      <c r="F14" s="29">
        <f t="shared" si="0"/>
        <v>0.21777777777777763</v>
      </c>
      <c r="G14" s="30">
        <f>$J$13</f>
        <v>191.87103456238427</v>
      </c>
      <c r="H14" s="30">
        <f t="shared" si="1"/>
        <v>41.785247526919214</v>
      </c>
      <c r="I14" s="30">
        <f t="shared" si="2"/>
        <v>11.282016832268189</v>
      </c>
      <c r="J14" s="50">
        <f t="shared" si="3"/>
        <v>203.15305139465246</v>
      </c>
    </row>
    <row r="15" spans="2:10" ht="15" customHeight="1" x14ac:dyDescent="0.2">
      <c r="B15" s="51">
        <v>8</v>
      </c>
      <c r="C15" s="51" t="s">
        <v>325</v>
      </c>
      <c r="D15" s="52">
        <v>2.173</v>
      </c>
      <c r="E15" s="53">
        <v>0.81179999999999997</v>
      </c>
      <c r="F15" s="53">
        <f t="shared" si="0"/>
        <v>0.32567834612105712</v>
      </c>
      <c r="G15" s="54">
        <f>$J$14</f>
        <v>203.15305139465246</v>
      </c>
      <c r="H15" s="54">
        <f t="shared" si="1"/>
        <v>66.16254978765653</v>
      </c>
      <c r="I15" s="54">
        <f t="shared" si="2"/>
        <v>77.608670900921112</v>
      </c>
      <c r="J15" s="50">
        <f t="shared" si="3"/>
        <v>280.76172229557358</v>
      </c>
    </row>
    <row r="16" spans="2:10" ht="15" customHeight="1" x14ac:dyDescent="0.2">
      <c r="B16" s="48">
        <v>9</v>
      </c>
      <c r="C16" s="48" t="s">
        <v>326</v>
      </c>
      <c r="D16" s="49">
        <v>1.27</v>
      </c>
      <c r="E16" s="29">
        <v>0.95</v>
      </c>
      <c r="F16" s="29">
        <f t="shared" si="0"/>
        <v>0.3824074074074072</v>
      </c>
      <c r="G16" s="30">
        <f>$J$15</f>
        <v>280.76172229557358</v>
      </c>
      <c r="H16" s="30">
        <f t="shared" si="1"/>
        <v>107.36536232228873</v>
      </c>
      <c r="I16" s="30">
        <f t="shared" si="2"/>
        <v>28.98864782701796</v>
      </c>
      <c r="J16" s="50">
        <f t="shared" si="3"/>
        <v>309.75037012259156</v>
      </c>
    </row>
    <row r="17" spans="2:10" ht="15" customHeight="1" x14ac:dyDescent="0.2">
      <c r="B17" s="51">
        <v>10</v>
      </c>
      <c r="C17" s="51" t="s">
        <v>327</v>
      </c>
      <c r="D17" s="52">
        <v>2.9060000000000001</v>
      </c>
      <c r="E17" s="53">
        <v>0.42716826000000002</v>
      </c>
      <c r="F17" s="53">
        <f t="shared" si="0"/>
        <v>6.3313474176285453E-2</v>
      </c>
      <c r="G17" s="54">
        <f>$J$16</f>
        <v>309.75037012259156</v>
      </c>
      <c r="H17" s="54">
        <f t="shared" si="1"/>
        <v>19.611372059851561</v>
      </c>
      <c r="I17" s="54">
        <f t="shared" si="2"/>
        <v>37.379275146077077</v>
      </c>
      <c r="J17" s="50">
        <f t="shared" si="3"/>
        <v>347.12964526866864</v>
      </c>
    </row>
    <row r="18" spans="2:10" ht="15" customHeight="1" x14ac:dyDescent="0.2">
      <c r="B18" s="48">
        <v>11</v>
      </c>
      <c r="C18" s="48" t="s">
        <v>328</v>
      </c>
      <c r="D18" s="49">
        <v>1.1200000000000001</v>
      </c>
      <c r="E18" s="29">
        <v>0.96</v>
      </c>
      <c r="F18" s="29">
        <f t="shared" si="0"/>
        <v>0.31333333333333369</v>
      </c>
      <c r="G18" s="30">
        <f>$J$17</f>
        <v>347.12964526866864</v>
      </c>
      <c r="H18" s="30">
        <f t="shared" si="1"/>
        <v>108.76728885084962</v>
      </c>
      <c r="I18" s="30">
        <f t="shared" si="2"/>
        <v>13.052074662101967</v>
      </c>
      <c r="J18" s="50">
        <f t="shared" si="3"/>
        <v>360.18171993077061</v>
      </c>
    </row>
    <row r="19" spans="2:10" ht="15" customHeight="1" x14ac:dyDescent="0.2">
      <c r="B19" s="51">
        <v>12</v>
      </c>
      <c r="C19" s="51" t="s">
        <v>329</v>
      </c>
      <c r="D19" s="52">
        <v>3.8220000000000001</v>
      </c>
      <c r="E19" s="53">
        <v>0.49076999999999998</v>
      </c>
      <c r="F19" s="53">
        <f t="shared" si="0"/>
        <v>0.15515998228206945</v>
      </c>
      <c r="G19" s="54">
        <f>$J$18</f>
        <v>360.18171993077061</v>
      </c>
      <c r="H19" s="54">
        <f t="shared" si="1"/>
        <v>55.885789282783669</v>
      </c>
      <c r="I19" s="54">
        <f t="shared" si="2"/>
        <v>157.70969735601551</v>
      </c>
      <c r="J19" s="50">
        <f t="shared" si="3"/>
        <v>517.89141728678612</v>
      </c>
    </row>
    <row r="20" spans="2:10" ht="15" customHeight="1" x14ac:dyDescent="0.2">
      <c r="B20" s="48">
        <v>13</v>
      </c>
      <c r="C20" s="48" t="s">
        <v>330</v>
      </c>
      <c r="D20" s="49">
        <v>2.2400000000000002</v>
      </c>
      <c r="E20" s="29">
        <v>0.68447999999999998</v>
      </c>
      <c r="F20" s="29">
        <f t="shared" si="0"/>
        <v>0.21501419354838708</v>
      </c>
      <c r="G20" s="30">
        <f>$J$19</f>
        <v>517.89141728678612</v>
      </c>
      <c r="H20" s="30">
        <f t="shared" si="1"/>
        <v>111.35400543354953</v>
      </c>
      <c r="I20" s="30">
        <f t="shared" si="2"/>
        <v>138.07896673760143</v>
      </c>
      <c r="J20" s="50">
        <f t="shared" si="3"/>
        <v>655.97038402438761</v>
      </c>
    </row>
    <row r="21" spans="2:10" ht="15" customHeight="1" x14ac:dyDescent="0.2">
      <c r="B21" s="51">
        <v>14</v>
      </c>
      <c r="C21" s="51" t="s">
        <v>331</v>
      </c>
      <c r="D21" s="52">
        <v>1.34</v>
      </c>
      <c r="E21" s="53">
        <v>0.84</v>
      </c>
      <c r="F21" s="53">
        <f t="shared" si="0"/>
        <v>0.18470588235294103</v>
      </c>
      <c r="G21" s="54">
        <f>$J$20</f>
        <v>655.97038402438761</v>
      </c>
      <c r="H21" s="54">
        <f t="shared" si="1"/>
        <v>121.16158857862209</v>
      </c>
      <c r="I21" s="54">
        <f t="shared" si="2"/>
        <v>41.194940116731516</v>
      </c>
      <c r="J21" s="50">
        <f t="shared" si="3"/>
        <v>697.16532414111907</v>
      </c>
    </row>
    <row r="22" spans="2:10" ht="15" customHeight="1" x14ac:dyDescent="0.2">
      <c r="B22" s="48">
        <v>15</v>
      </c>
      <c r="C22" s="48" t="s">
        <v>332</v>
      </c>
      <c r="D22" s="49">
        <v>1.911</v>
      </c>
      <c r="E22" s="29">
        <v>0.62780000000000002</v>
      </c>
      <c r="F22" s="29">
        <f t="shared" si="0"/>
        <v>0.10961899012074652</v>
      </c>
      <c r="G22" s="30">
        <f>$J$21</f>
        <v>697.16532414111907</v>
      </c>
      <c r="H22" s="30">
        <f t="shared" si="1"/>
        <v>76.422558779552375</v>
      </c>
      <c r="I22" s="30">
        <f t="shared" si="2"/>
        <v>69.620951048172216</v>
      </c>
      <c r="J22" s="50">
        <f t="shared" si="3"/>
        <v>766.78627518929125</v>
      </c>
    </row>
    <row r="23" spans="2:10" ht="15" customHeight="1" x14ac:dyDescent="0.2">
      <c r="B23" s="51">
        <v>16</v>
      </c>
      <c r="C23" s="51" t="s">
        <v>333</v>
      </c>
      <c r="D23" s="52">
        <v>1.44</v>
      </c>
      <c r="E23" s="53">
        <v>0.86450000000000005</v>
      </c>
      <c r="F23" s="53">
        <f t="shared" si="0"/>
        <v>0.27827272727272728</v>
      </c>
      <c r="G23" s="54">
        <f>$J$22</f>
        <v>766.78627518929125</v>
      </c>
      <c r="H23" s="54">
        <f t="shared" si="1"/>
        <v>213.37570803222005</v>
      </c>
      <c r="I23" s="54">
        <f t="shared" si="2"/>
        <v>93.885311534176807</v>
      </c>
      <c r="J23" s="50">
        <f t="shared" si="3"/>
        <v>860.67158672346807</v>
      </c>
    </row>
    <row r="24" spans="2:10" ht="15" customHeight="1" x14ac:dyDescent="0.2">
      <c r="B24" s="177" t="s">
        <v>334</v>
      </c>
      <c r="C24" s="176"/>
      <c r="D24" s="176"/>
      <c r="E24" s="176"/>
      <c r="F24" s="176"/>
      <c r="G24" s="176"/>
      <c r="H24" s="55">
        <f>SUM(H8:H23)</f>
        <v>1038.4590931575453</v>
      </c>
      <c r="I24" s="55">
        <f>SUM(I8:I23)</f>
        <v>760.67158672346807</v>
      </c>
      <c r="J24" s="56">
        <f>J23</f>
        <v>860.67158672346807</v>
      </c>
    </row>
    <row r="26" spans="2:10" ht="30" customHeight="1" x14ac:dyDescent="0.2">
      <c r="B26" s="167" t="s">
        <v>335</v>
      </c>
      <c r="C26" s="143"/>
      <c r="D26" s="143"/>
      <c r="E26" s="143"/>
      <c r="F26" s="143"/>
      <c r="G26" s="143"/>
      <c r="H26" s="143"/>
      <c r="I26" s="143"/>
      <c r="J26" s="143"/>
    </row>
  </sheetData>
  <mergeCells count="5">
    <mergeCell ref="B24:G24"/>
    <mergeCell ref="B3:J3"/>
    <mergeCell ref="B5:D5"/>
    <mergeCell ref="B26:J26"/>
    <mergeCell ref="B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J26"/>
  <sheetViews>
    <sheetView showGridLines="0"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baseColWidth="10" defaultColWidth="8.6640625" defaultRowHeight="15" x14ac:dyDescent="0.2"/>
  <cols>
    <col min="1" max="1" width="2" customWidth="1"/>
    <col min="2" max="2" width="6" customWidth="1"/>
    <col min="3" max="3" width="8" customWidth="1"/>
    <col min="4" max="4" width="11" customWidth="1"/>
    <col min="5" max="5" width="10" customWidth="1"/>
    <col min="6" max="6" width="9" customWidth="1"/>
    <col min="7" max="7" width="15" customWidth="1"/>
    <col min="8" max="8" width="14" customWidth="1"/>
    <col min="10" max="10" width="16" customWidth="1"/>
  </cols>
  <sheetData>
    <row r="2" spans="2:10" ht="25.5" customHeight="1" x14ac:dyDescent="0.2">
      <c r="B2" s="179" t="s">
        <v>336</v>
      </c>
      <c r="C2" s="143"/>
      <c r="D2" s="143"/>
      <c r="E2" s="143"/>
      <c r="F2" s="143"/>
      <c r="G2" s="143"/>
      <c r="H2" s="143"/>
      <c r="I2" s="143"/>
      <c r="J2" s="143"/>
    </row>
    <row r="3" spans="2:10" ht="25.5" customHeight="1" x14ac:dyDescent="0.2">
      <c r="B3" s="170" t="s">
        <v>307</v>
      </c>
      <c r="C3" s="143"/>
      <c r="D3" s="143"/>
      <c r="E3" s="143"/>
      <c r="F3" s="143"/>
      <c r="G3" s="143"/>
      <c r="H3" s="143"/>
      <c r="I3" s="143"/>
      <c r="J3" s="143"/>
    </row>
    <row r="5" spans="2:10" ht="15" customHeight="1" x14ac:dyDescent="0.2">
      <c r="B5" s="178" t="s">
        <v>308</v>
      </c>
      <c r="C5" s="176"/>
      <c r="D5" s="176"/>
      <c r="E5" s="23">
        <v>100</v>
      </c>
    </row>
    <row r="7" spans="2:10" ht="27.75" customHeight="1" x14ac:dyDescent="0.2">
      <c r="B7" s="24" t="s">
        <v>309</v>
      </c>
      <c r="C7" s="24" t="s">
        <v>310</v>
      </c>
      <c r="D7" s="24" t="s">
        <v>311</v>
      </c>
      <c r="E7" s="24" t="s">
        <v>312</v>
      </c>
      <c r="F7" s="24" t="s">
        <v>313</v>
      </c>
      <c r="G7" s="24" t="s">
        <v>314</v>
      </c>
      <c r="H7" s="24" t="s">
        <v>315</v>
      </c>
      <c r="I7" s="24" t="s">
        <v>316</v>
      </c>
      <c r="J7" s="24" t="s">
        <v>317</v>
      </c>
    </row>
    <row r="8" spans="2:10" ht="15" customHeight="1" x14ac:dyDescent="0.2">
      <c r="B8" s="48">
        <v>1</v>
      </c>
      <c r="C8" s="48" t="s">
        <v>318</v>
      </c>
      <c r="D8" s="49">
        <v>1.45</v>
      </c>
      <c r="E8" s="29">
        <v>0.75</v>
      </c>
      <c r="F8" s="29">
        <f t="shared" ref="F8:F23" si="0">MAX(0,MIN(1,((E8*D8-1)/(D8-1))*0.666666666666667))</f>
        <v>0.12962962962962957</v>
      </c>
      <c r="G8" s="30">
        <f>$E$5</f>
        <v>100</v>
      </c>
      <c r="H8" s="30">
        <f t="shared" ref="H8:H23" si="1">G8*F8</f>
        <v>12.962962962962957</v>
      </c>
      <c r="I8" s="30">
        <f t="shared" ref="I8:I23" si="2">H8*(D8-1)</f>
        <v>5.8333333333333295</v>
      </c>
      <c r="J8" s="57">
        <f t="shared" ref="J8:J23" si="3">G8+I8</f>
        <v>105.83333333333333</v>
      </c>
    </row>
    <row r="9" spans="2:10" ht="15" customHeight="1" x14ac:dyDescent="0.2">
      <c r="B9" s="51">
        <v>2</v>
      </c>
      <c r="C9" s="51" t="s">
        <v>319</v>
      </c>
      <c r="D9" s="52">
        <v>2.2679999999999998</v>
      </c>
      <c r="E9" s="53">
        <v>0.67859999999999998</v>
      </c>
      <c r="F9" s="53">
        <f t="shared" si="0"/>
        <v>0.28341997896950588</v>
      </c>
      <c r="G9" s="54">
        <f>$J$8</f>
        <v>105.83333333333333</v>
      </c>
      <c r="H9" s="54">
        <f t="shared" si="1"/>
        <v>29.995281107606036</v>
      </c>
      <c r="I9" s="54">
        <f t="shared" si="2"/>
        <v>38.034016444444447</v>
      </c>
      <c r="J9" s="57">
        <f t="shared" si="3"/>
        <v>143.86734977777778</v>
      </c>
    </row>
    <row r="10" spans="2:10" ht="15" customHeight="1" x14ac:dyDescent="0.2">
      <c r="B10" s="48">
        <v>3</v>
      </c>
      <c r="C10" s="48" t="s">
        <v>320</v>
      </c>
      <c r="D10" s="49">
        <v>1.05</v>
      </c>
      <c r="E10" s="29">
        <v>0.98</v>
      </c>
      <c r="F10" s="29">
        <f t="shared" si="0"/>
        <v>0.38666666666666533</v>
      </c>
      <c r="G10" s="30">
        <f>$J$9</f>
        <v>143.86734977777778</v>
      </c>
      <c r="H10" s="30">
        <f t="shared" si="1"/>
        <v>55.62870858074055</v>
      </c>
      <c r="I10" s="30">
        <f t="shared" si="2"/>
        <v>2.78143542903703</v>
      </c>
      <c r="J10" s="57">
        <f t="shared" si="3"/>
        <v>146.64878520681481</v>
      </c>
    </row>
    <row r="11" spans="2:10" ht="15" customHeight="1" x14ac:dyDescent="0.2">
      <c r="B11" s="51">
        <v>4</v>
      </c>
      <c r="C11" s="51" t="s">
        <v>321</v>
      </c>
      <c r="D11" s="52">
        <v>1.65</v>
      </c>
      <c r="E11" s="53">
        <v>0.653366</v>
      </c>
      <c r="F11" s="53">
        <f t="shared" si="0"/>
        <v>8.0055282051282109E-2</v>
      </c>
      <c r="G11" s="54">
        <f>$J$10</f>
        <v>146.64878520681481</v>
      </c>
      <c r="H11" s="54">
        <f t="shared" si="1"/>
        <v>11.740009862209448</v>
      </c>
      <c r="I11" s="54">
        <f t="shared" si="2"/>
        <v>7.6310064104361395</v>
      </c>
      <c r="J11" s="57">
        <f t="shared" si="3"/>
        <v>154.27979161725094</v>
      </c>
    </row>
    <row r="12" spans="2:10" ht="15" customHeight="1" x14ac:dyDescent="0.2">
      <c r="B12" s="48">
        <v>5</v>
      </c>
      <c r="C12" s="48" t="s">
        <v>322</v>
      </c>
      <c r="D12" s="49">
        <v>2.423</v>
      </c>
      <c r="E12" s="29">
        <v>0.50651400000000002</v>
      </c>
      <c r="F12" s="29">
        <f t="shared" si="0"/>
        <v>0.10648087233544169</v>
      </c>
      <c r="G12" s="30">
        <f>$J$11</f>
        <v>154.27979161725094</v>
      </c>
      <c r="H12" s="30">
        <f t="shared" si="1"/>
        <v>16.427846795135043</v>
      </c>
      <c r="I12" s="30">
        <f t="shared" si="2"/>
        <v>23.376825989477165</v>
      </c>
      <c r="J12" s="57">
        <f t="shared" si="3"/>
        <v>177.6566176067281</v>
      </c>
    </row>
    <row r="13" spans="2:10" ht="15" customHeight="1" x14ac:dyDescent="0.2">
      <c r="B13" s="51">
        <v>6</v>
      </c>
      <c r="C13" s="51" t="s">
        <v>323</v>
      </c>
      <c r="D13" s="52">
        <v>2.3450000000000002</v>
      </c>
      <c r="E13" s="53">
        <v>0.62560000000000004</v>
      </c>
      <c r="F13" s="53">
        <f t="shared" si="0"/>
        <v>0.23149045848822825</v>
      </c>
      <c r="G13" s="54">
        <f>$J$12</f>
        <v>177.6566176067281</v>
      </c>
      <c r="H13" s="54">
        <f t="shared" si="1"/>
        <v>41.125811863249332</v>
      </c>
      <c r="I13" s="54">
        <f t="shared" si="2"/>
        <v>55.314216956070361</v>
      </c>
      <c r="J13" s="57">
        <f t="shared" si="3"/>
        <v>232.97083456279847</v>
      </c>
    </row>
    <row r="14" spans="2:10" ht="15" customHeight="1" x14ac:dyDescent="0.2">
      <c r="B14" s="48">
        <v>7</v>
      </c>
      <c r="C14" s="48" t="s">
        <v>324</v>
      </c>
      <c r="D14" s="49">
        <v>1.27</v>
      </c>
      <c r="E14" s="29">
        <v>0.88</v>
      </c>
      <c r="F14" s="29">
        <f t="shared" si="0"/>
        <v>0.29037037037037028</v>
      </c>
      <c r="G14" s="30">
        <f>$J$13</f>
        <v>232.97083456279847</v>
      </c>
      <c r="H14" s="30">
        <f t="shared" si="1"/>
        <v>67.647827517494051</v>
      </c>
      <c r="I14" s="30">
        <f t="shared" si="2"/>
        <v>18.264913429723396</v>
      </c>
      <c r="J14" s="57">
        <f t="shared" si="3"/>
        <v>251.23574799252188</v>
      </c>
    </row>
    <row r="15" spans="2:10" ht="15" customHeight="1" x14ac:dyDescent="0.2">
      <c r="B15" s="51">
        <v>8</v>
      </c>
      <c r="C15" s="51" t="s">
        <v>325</v>
      </c>
      <c r="D15" s="52">
        <v>2.173</v>
      </c>
      <c r="E15" s="53">
        <v>0.81179999999999997</v>
      </c>
      <c r="F15" s="53">
        <f t="shared" si="0"/>
        <v>0.43423779482807634</v>
      </c>
      <c r="G15" s="54">
        <f>$J$14</f>
        <v>251.23574799252188</v>
      </c>
      <c r="H15" s="54">
        <f t="shared" si="1"/>
        <v>109.09605719025501</v>
      </c>
      <c r="I15" s="54">
        <f t="shared" si="2"/>
        <v>127.96967508416913</v>
      </c>
      <c r="J15" s="57">
        <f t="shared" si="3"/>
        <v>379.20542307669098</v>
      </c>
    </row>
    <row r="16" spans="2:10" ht="15" customHeight="1" x14ac:dyDescent="0.2">
      <c r="B16" s="48">
        <v>9</v>
      </c>
      <c r="C16" s="48" t="s">
        <v>326</v>
      </c>
      <c r="D16" s="49">
        <v>1.27</v>
      </c>
      <c r="E16" s="29">
        <v>0.95</v>
      </c>
      <c r="F16" s="29">
        <f t="shared" si="0"/>
        <v>0.50987654320987652</v>
      </c>
      <c r="G16" s="30">
        <f>$J$15</f>
        <v>379.20542307669098</v>
      </c>
      <c r="H16" s="30">
        <f t="shared" si="1"/>
        <v>193.34795028478194</v>
      </c>
      <c r="I16" s="30">
        <f t="shared" si="2"/>
        <v>52.203946576891127</v>
      </c>
      <c r="J16" s="57">
        <f t="shared" si="3"/>
        <v>431.40936965358208</v>
      </c>
    </row>
    <row r="17" spans="2:10" ht="15" customHeight="1" x14ac:dyDescent="0.2">
      <c r="B17" s="51">
        <v>10</v>
      </c>
      <c r="C17" s="51" t="s">
        <v>327</v>
      </c>
      <c r="D17" s="52">
        <v>2.9060000000000001</v>
      </c>
      <c r="E17" s="53">
        <v>0.42716826000000002</v>
      </c>
      <c r="F17" s="53">
        <f t="shared" si="0"/>
        <v>8.4417965568380646E-2</v>
      </c>
      <c r="G17" s="54">
        <f>$J$16</f>
        <v>431.40936965358208</v>
      </c>
      <c r="H17" s="54">
        <f t="shared" si="1"/>
        <v>36.418701313292893</v>
      </c>
      <c r="I17" s="54">
        <f t="shared" si="2"/>
        <v>69.414044703136256</v>
      </c>
      <c r="J17" s="57">
        <f t="shared" si="3"/>
        <v>500.82341435671833</v>
      </c>
    </row>
    <row r="18" spans="2:10" ht="15" customHeight="1" x14ac:dyDescent="0.2">
      <c r="B18" s="48">
        <v>11</v>
      </c>
      <c r="C18" s="48" t="s">
        <v>328</v>
      </c>
      <c r="D18" s="49">
        <v>1.1200000000000001</v>
      </c>
      <c r="E18" s="29">
        <v>0.96</v>
      </c>
      <c r="F18" s="29">
        <f t="shared" si="0"/>
        <v>0.41777777777777841</v>
      </c>
      <c r="G18" s="30">
        <f>$J$17</f>
        <v>500.82341435671833</v>
      </c>
      <c r="H18" s="30">
        <f t="shared" si="1"/>
        <v>209.23289310902931</v>
      </c>
      <c r="I18" s="30">
        <f t="shared" si="2"/>
        <v>25.107947173083538</v>
      </c>
      <c r="J18" s="57">
        <f t="shared" si="3"/>
        <v>525.93136152980185</v>
      </c>
    </row>
    <row r="19" spans="2:10" ht="15" customHeight="1" x14ac:dyDescent="0.2">
      <c r="B19" s="51">
        <v>12</v>
      </c>
      <c r="C19" s="51" t="s">
        <v>329</v>
      </c>
      <c r="D19" s="52">
        <v>3.8220000000000001</v>
      </c>
      <c r="E19" s="53">
        <v>0.49076999999999998</v>
      </c>
      <c r="F19" s="53">
        <f t="shared" si="0"/>
        <v>0.20687997637609271</v>
      </c>
      <c r="G19" s="54">
        <f>$J$18</f>
        <v>525.93136152980185</v>
      </c>
      <c r="H19" s="54">
        <f t="shared" si="1"/>
        <v>108.80466764873168</v>
      </c>
      <c r="I19" s="54">
        <f t="shared" si="2"/>
        <v>307.04677210472079</v>
      </c>
      <c r="J19" s="57">
        <f t="shared" si="3"/>
        <v>832.97813363452269</v>
      </c>
    </row>
    <row r="20" spans="2:10" ht="15" customHeight="1" x14ac:dyDescent="0.2">
      <c r="B20" s="48">
        <v>13</v>
      </c>
      <c r="C20" s="48" t="s">
        <v>330</v>
      </c>
      <c r="D20" s="49">
        <v>2.2400000000000002</v>
      </c>
      <c r="E20" s="29">
        <v>0.68447999999999998</v>
      </c>
      <c r="F20" s="29">
        <f t="shared" si="0"/>
        <v>0.28668559139784955</v>
      </c>
      <c r="G20" s="30">
        <f>$J$19</f>
        <v>832.97813363452269</v>
      </c>
      <c r="H20" s="30">
        <f t="shared" si="1"/>
        <v>238.80282886249009</v>
      </c>
      <c r="I20" s="30">
        <f t="shared" si="2"/>
        <v>296.11550778948776</v>
      </c>
      <c r="J20" s="57">
        <f t="shared" si="3"/>
        <v>1129.0936414240105</v>
      </c>
    </row>
    <row r="21" spans="2:10" ht="15" customHeight="1" x14ac:dyDescent="0.2">
      <c r="B21" s="51">
        <v>14</v>
      </c>
      <c r="C21" s="51" t="s">
        <v>331</v>
      </c>
      <c r="D21" s="52">
        <v>1.34</v>
      </c>
      <c r="E21" s="53">
        <v>0.84</v>
      </c>
      <c r="F21" s="53">
        <f t="shared" si="0"/>
        <v>0.24627450980392149</v>
      </c>
      <c r="G21" s="54">
        <f>$J$20</f>
        <v>1129.0936414240105</v>
      </c>
      <c r="H21" s="54">
        <f t="shared" si="1"/>
        <v>278.06698306442286</v>
      </c>
      <c r="I21" s="54">
        <f t="shared" si="2"/>
        <v>94.5427742419038</v>
      </c>
      <c r="J21" s="57">
        <f t="shared" si="3"/>
        <v>1223.6364156659142</v>
      </c>
    </row>
    <row r="22" spans="2:10" ht="15" customHeight="1" x14ac:dyDescent="0.2">
      <c r="B22" s="48">
        <v>15</v>
      </c>
      <c r="C22" s="48" t="s">
        <v>332</v>
      </c>
      <c r="D22" s="49">
        <v>1.911</v>
      </c>
      <c r="E22" s="29">
        <v>0.62780000000000002</v>
      </c>
      <c r="F22" s="29">
        <f t="shared" si="0"/>
        <v>0.14615865349432877</v>
      </c>
      <c r="G22" s="30">
        <f>$J$21</f>
        <v>1223.6364156659142</v>
      </c>
      <c r="H22" s="30">
        <f t="shared" si="1"/>
        <v>178.84505088035681</v>
      </c>
      <c r="I22" s="30">
        <f t="shared" si="2"/>
        <v>162.92784135200506</v>
      </c>
      <c r="J22" s="57">
        <f t="shared" si="3"/>
        <v>1386.5642570179193</v>
      </c>
    </row>
    <row r="23" spans="2:10" ht="15" customHeight="1" x14ac:dyDescent="0.2">
      <c r="B23" s="51">
        <v>16</v>
      </c>
      <c r="C23" s="51" t="s">
        <v>333</v>
      </c>
      <c r="D23" s="52">
        <v>1.44</v>
      </c>
      <c r="E23" s="53">
        <v>0.86450000000000005</v>
      </c>
      <c r="F23" s="53">
        <f t="shared" si="0"/>
        <v>0.37103030303030321</v>
      </c>
      <c r="G23" s="54">
        <f>$J$22</f>
        <v>1386.5642570179193</v>
      </c>
      <c r="H23" s="54">
        <f t="shared" si="1"/>
        <v>514.45735645234583</v>
      </c>
      <c r="I23" s="54">
        <f t="shared" si="2"/>
        <v>226.36123683903213</v>
      </c>
      <c r="J23" s="57">
        <f t="shared" si="3"/>
        <v>1612.9254938569516</v>
      </c>
    </row>
    <row r="24" spans="2:10" ht="15" customHeight="1" x14ac:dyDescent="0.2">
      <c r="B24" s="177" t="s">
        <v>334</v>
      </c>
      <c r="C24" s="176"/>
      <c r="D24" s="176"/>
      <c r="E24" s="176"/>
      <c r="F24" s="176"/>
      <c r="G24" s="176"/>
      <c r="H24" s="55">
        <f>SUM(H8:H23)</f>
        <v>2102.6009374951041</v>
      </c>
      <c r="I24" s="55">
        <f>SUM(I8:I23)</f>
        <v>1512.9254938569516</v>
      </c>
      <c r="J24" s="56">
        <f>J23</f>
        <v>1612.9254938569516</v>
      </c>
    </row>
    <row r="26" spans="2:10" ht="30" customHeight="1" x14ac:dyDescent="0.2">
      <c r="B26" s="167" t="s">
        <v>335</v>
      </c>
      <c r="C26" s="143"/>
      <c r="D26" s="143"/>
      <c r="E26" s="143"/>
      <c r="F26" s="143"/>
      <c r="G26" s="143"/>
      <c r="H26" s="143"/>
      <c r="I26" s="143"/>
      <c r="J26" s="143"/>
    </row>
  </sheetData>
  <mergeCells count="5">
    <mergeCell ref="B24:G24"/>
    <mergeCell ref="B3:J3"/>
    <mergeCell ref="B5:D5"/>
    <mergeCell ref="B26:J26"/>
    <mergeCell ref="B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J26"/>
  <sheetViews>
    <sheetView showGridLines="0"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baseColWidth="10" defaultColWidth="8.6640625" defaultRowHeight="15" x14ac:dyDescent="0.2"/>
  <cols>
    <col min="1" max="1" width="2" customWidth="1"/>
    <col min="2" max="2" width="6" customWidth="1"/>
    <col min="3" max="3" width="8" customWidth="1"/>
    <col min="4" max="4" width="11" customWidth="1"/>
    <col min="5" max="5" width="10" customWidth="1"/>
    <col min="6" max="6" width="9" customWidth="1"/>
    <col min="7" max="7" width="15" customWidth="1"/>
    <col min="8" max="8" width="14" customWidth="1"/>
    <col min="10" max="10" width="16" customWidth="1"/>
  </cols>
  <sheetData>
    <row r="2" spans="2:10" ht="25.5" customHeight="1" x14ac:dyDescent="0.2">
      <c r="B2" s="179" t="s">
        <v>337</v>
      </c>
      <c r="C2" s="143"/>
      <c r="D2" s="143"/>
      <c r="E2" s="143"/>
      <c r="F2" s="143"/>
      <c r="G2" s="143"/>
      <c r="H2" s="143"/>
      <c r="I2" s="143"/>
      <c r="J2" s="143"/>
    </row>
    <row r="3" spans="2:10" ht="25.5" customHeight="1" x14ac:dyDescent="0.2">
      <c r="B3" s="170" t="s">
        <v>307</v>
      </c>
      <c r="C3" s="143"/>
      <c r="D3" s="143"/>
      <c r="E3" s="143"/>
      <c r="F3" s="143"/>
      <c r="G3" s="143"/>
      <c r="H3" s="143"/>
      <c r="I3" s="143"/>
      <c r="J3" s="143"/>
    </row>
    <row r="5" spans="2:10" ht="15" customHeight="1" x14ac:dyDescent="0.2">
      <c r="B5" s="178" t="s">
        <v>308</v>
      </c>
      <c r="C5" s="176"/>
      <c r="D5" s="176"/>
      <c r="E5" s="23">
        <v>100</v>
      </c>
    </row>
    <row r="7" spans="2:10" ht="27.75" customHeight="1" x14ac:dyDescent="0.2">
      <c r="B7" s="24" t="s">
        <v>309</v>
      </c>
      <c r="C7" s="24" t="s">
        <v>310</v>
      </c>
      <c r="D7" s="24" t="s">
        <v>311</v>
      </c>
      <c r="E7" s="24" t="s">
        <v>312</v>
      </c>
      <c r="F7" s="24" t="s">
        <v>313</v>
      </c>
      <c r="G7" s="24" t="s">
        <v>314</v>
      </c>
      <c r="H7" s="24" t="s">
        <v>315</v>
      </c>
      <c r="I7" s="24" t="s">
        <v>316</v>
      </c>
      <c r="J7" s="24" t="s">
        <v>317</v>
      </c>
    </row>
    <row r="8" spans="2:10" ht="15" customHeight="1" x14ac:dyDescent="0.2">
      <c r="B8" s="48">
        <v>1</v>
      </c>
      <c r="C8" s="48" t="s">
        <v>318</v>
      </c>
      <c r="D8" s="49">
        <v>1.45</v>
      </c>
      <c r="E8" s="29">
        <v>0.75</v>
      </c>
      <c r="F8" s="29">
        <f t="shared" ref="F8:F23" si="0">MAX(0,MIN(1,((E8*D8-1)/(D8-1))*1))</f>
        <v>0.19444444444444425</v>
      </c>
      <c r="G8" s="30">
        <f>$E$5</f>
        <v>100</v>
      </c>
      <c r="H8" s="30">
        <f t="shared" ref="H8:H23" si="1">G8*F8</f>
        <v>19.444444444444425</v>
      </c>
      <c r="I8" s="30">
        <f t="shared" ref="I8:I23" si="2">H8*(D8-1)</f>
        <v>8.7499999999999911</v>
      </c>
      <c r="J8" s="58">
        <f t="shared" ref="J8:J23" si="3">G8+I8</f>
        <v>108.74999999999999</v>
      </c>
    </row>
    <row r="9" spans="2:10" ht="15" customHeight="1" x14ac:dyDescent="0.2">
      <c r="B9" s="51">
        <v>2</v>
      </c>
      <c r="C9" s="51" t="s">
        <v>319</v>
      </c>
      <c r="D9" s="52">
        <v>2.2679999999999998</v>
      </c>
      <c r="E9" s="53">
        <v>0.67859999999999998</v>
      </c>
      <c r="F9" s="53">
        <f t="shared" si="0"/>
        <v>0.4251299684542586</v>
      </c>
      <c r="G9" s="54">
        <f>$J$8</f>
        <v>108.74999999999999</v>
      </c>
      <c r="H9" s="54">
        <f t="shared" si="1"/>
        <v>46.232884069400619</v>
      </c>
      <c r="I9" s="54">
        <f t="shared" si="2"/>
        <v>58.623296999999972</v>
      </c>
      <c r="J9" s="58">
        <f t="shared" si="3"/>
        <v>167.37329699999995</v>
      </c>
    </row>
    <row r="10" spans="2:10" ht="15" customHeight="1" x14ac:dyDescent="0.2">
      <c r="B10" s="48">
        <v>3</v>
      </c>
      <c r="C10" s="48" t="s">
        <v>320</v>
      </c>
      <c r="D10" s="49">
        <v>1.05</v>
      </c>
      <c r="E10" s="29">
        <v>0.98</v>
      </c>
      <c r="F10" s="29">
        <f t="shared" si="0"/>
        <v>0.57999999999999774</v>
      </c>
      <c r="G10" s="30">
        <f>$J$9</f>
        <v>167.37329699999995</v>
      </c>
      <c r="H10" s="30">
        <f t="shared" si="1"/>
        <v>97.076512259999589</v>
      </c>
      <c r="I10" s="30">
        <f t="shared" si="2"/>
        <v>4.8538256129999837</v>
      </c>
      <c r="J10" s="58">
        <f t="shared" si="3"/>
        <v>172.22712261299995</v>
      </c>
    </row>
    <row r="11" spans="2:10" ht="15" customHeight="1" x14ac:dyDescent="0.2">
      <c r="B11" s="51">
        <v>4</v>
      </c>
      <c r="C11" s="51" t="s">
        <v>321</v>
      </c>
      <c r="D11" s="52">
        <v>1.65</v>
      </c>
      <c r="E11" s="53">
        <v>0.653366</v>
      </c>
      <c r="F11" s="53">
        <f t="shared" si="0"/>
        <v>0.1200829230769231</v>
      </c>
      <c r="G11" s="54">
        <f>$J$10</f>
        <v>172.22712261299995</v>
      </c>
      <c r="H11" s="54">
        <f t="shared" si="1"/>
        <v>20.681536316496675</v>
      </c>
      <c r="I11" s="54">
        <f t="shared" si="2"/>
        <v>13.442998605722837</v>
      </c>
      <c r="J11" s="58">
        <f t="shared" si="3"/>
        <v>185.67012121872278</v>
      </c>
    </row>
    <row r="12" spans="2:10" ht="15" customHeight="1" x14ac:dyDescent="0.2">
      <c r="B12" s="48">
        <v>5</v>
      </c>
      <c r="C12" s="48" t="s">
        <v>322</v>
      </c>
      <c r="D12" s="49">
        <v>2.423</v>
      </c>
      <c r="E12" s="29">
        <v>0.50651400000000002</v>
      </c>
      <c r="F12" s="29">
        <f t="shared" si="0"/>
        <v>0.15972130850316246</v>
      </c>
      <c r="G12" s="30">
        <f>$J$11</f>
        <v>185.67012121872278</v>
      </c>
      <c r="H12" s="30">
        <f t="shared" si="1"/>
        <v>29.655474710995193</v>
      </c>
      <c r="I12" s="30">
        <f t="shared" si="2"/>
        <v>42.199740513746164</v>
      </c>
      <c r="J12" s="58">
        <f t="shared" si="3"/>
        <v>227.86986173246896</v>
      </c>
    </row>
    <row r="13" spans="2:10" ht="15" customHeight="1" x14ac:dyDescent="0.2">
      <c r="B13" s="51">
        <v>6</v>
      </c>
      <c r="C13" s="51" t="s">
        <v>323</v>
      </c>
      <c r="D13" s="52">
        <v>2.3450000000000002</v>
      </c>
      <c r="E13" s="53">
        <v>0.62560000000000004</v>
      </c>
      <c r="F13" s="53">
        <f t="shared" si="0"/>
        <v>0.3472356877323422</v>
      </c>
      <c r="G13" s="54">
        <f>$J$12</f>
        <v>227.86986173246896</v>
      </c>
      <c r="H13" s="54">
        <f t="shared" si="1"/>
        <v>79.124548152147582</v>
      </c>
      <c r="I13" s="54">
        <f t="shared" si="2"/>
        <v>106.42251726463851</v>
      </c>
      <c r="J13" s="58">
        <f t="shared" si="3"/>
        <v>334.29237899710745</v>
      </c>
    </row>
    <row r="14" spans="2:10" ht="15" customHeight="1" x14ac:dyDescent="0.2">
      <c r="B14" s="48">
        <v>7</v>
      </c>
      <c r="C14" s="48" t="s">
        <v>324</v>
      </c>
      <c r="D14" s="49">
        <v>1.27</v>
      </c>
      <c r="E14" s="29">
        <v>0.88</v>
      </c>
      <c r="F14" s="29">
        <f t="shared" si="0"/>
        <v>0.43555555555555525</v>
      </c>
      <c r="G14" s="30">
        <f>$J$13</f>
        <v>334.29237899710745</v>
      </c>
      <c r="H14" s="30">
        <f t="shared" si="1"/>
        <v>145.60290285207336</v>
      </c>
      <c r="I14" s="30">
        <f t="shared" si="2"/>
        <v>39.312783770059809</v>
      </c>
      <c r="J14" s="58">
        <f t="shared" si="3"/>
        <v>373.60516276716726</v>
      </c>
    </row>
    <row r="15" spans="2:10" ht="15" customHeight="1" x14ac:dyDescent="0.2">
      <c r="B15" s="51">
        <v>8</v>
      </c>
      <c r="C15" s="51" t="s">
        <v>325</v>
      </c>
      <c r="D15" s="52">
        <v>2.173</v>
      </c>
      <c r="E15" s="53">
        <v>0.81179999999999997</v>
      </c>
      <c r="F15" s="53">
        <f t="shared" si="0"/>
        <v>0.65135669224211423</v>
      </c>
      <c r="G15" s="54">
        <f>$J$14</f>
        <v>373.60516276716726</v>
      </c>
      <c r="H15" s="54">
        <f t="shared" si="1"/>
        <v>243.35022302459876</v>
      </c>
      <c r="I15" s="54">
        <f t="shared" si="2"/>
        <v>285.44981160785437</v>
      </c>
      <c r="J15" s="58">
        <f t="shared" si="3"/>
        <v>659.05497437502163</v>
      </c>
    </row>
    <row r="16" spans="2:10" ht="15" customHeight="1" x14ac:dyDescent="0.2">
      <c r="B16" s="48">
        <v>9</v>
      </c>
      <c r="C16" s="48" t="s">
        <v>326</v>
      </c>
      <c r="D16" s="49">
        <v>1.27</v>
      </c>
      <c r="E16" s="29">
        <v>0.95</v>
      </c>
      <c r="F16" s="29">
        <f t="shared" si="0"/>
        <v>0.76481481481481439</v>
      </c>
      <c r="G16" s="30">
        <f>$J$15</f>
        <v>659.05497437502163</v>
      </c>
      <c r="H16" s="30">
        <f t="shared" si="1"/>
        <v>504.05500817941441</v>
      </c>
      <c r="I16" s="30">
        <f t="shared" si="2"/>
        <v>136.09485220844189</v>
      </c>
      <c r="J16" s="58">
        <f t="shared" si="3"/>
        <v>795.14982658346355</v>
      </c>
    </row>
    <row r="17" spans="2:10" ht="15" customHeight="1" x14ac:dyDescent="0.2">
      <c r="B17" s="51">
        <v>10</v>
      </c>
      <c r="C17" s="51" t="s">
        <v>327</v>
      </c>
      <c r="D17" s="52">
        <v>2.9060000000000001</v>
      </c>
      <c r="E17" s="53">
        <v>0.42716826000000002</v>
      </c>
      <c r="F17" s="53">
        <f t="shared" si="0"/>
        <v>0.12662694835257091</v>
      </c>
      <c r="G17" s="54">
        <f>$J$16</f>
        <v>795.14982658346355</v>
      </c>
      <c r="H17" s="54">
        <f t="shared" si="1"/>
        <v>100.68739602333996</v>
      </c>
      <c r="I17" s="54">
        <f t="shared" si="2"/>
        <v>191.91017682048596</v>
      </c>
      <c r="J17" s="58">
        <f t="shared" si="3"/>
        <v>987.06000340394951</v>
      </c>
    </row>
    <row r="18" spans="2:10" ht="15" customHeight="1" x14ac:dyDescent="0.2">
      <c r="B18" s="48">
        <v>11</v>
      </c>
      <c r="C18" s="48" t="s">
        <v>328</v>
      </c>
      <c r="D18" s="49">
        <v>1.1200000000000001</v>
      </c>
      <c r="E18" s="29">
        <v>0.96</v>
      </c>
      <c r="F18" s="29">
        <f t="shared" si="0"/>
        <v>0.62666666666666737</v>
      </c>
      <c r="G18" s="30">
        <f>$J$17</f>
        <v>987.06000340394951</v>
      </c>
      <c r="H18" s="30">
        <f t="shared" si="1"/>
        <v>618.55760213314238</v>
      </c>
      <c r="I18" s="30">
        <f t="shared" si="2"/>
        <v>74.226912255977155</v>
      </c>
      <c r="J18" s="58">
        <f t="shared" si="3"/>
        <v>1061.2869156599268</v>
      </c>
    </row>
    <row r="19" spans="2:10" ht="15" customHeight="1" x14ac:dyDescent="0.2">
      <c r="B19" s="51">
        <v>12</v>
      </c>
      <c r="C19" s="51" t="s">
        <v>329</v>
      </c>
      <c r="D19" s="52">
        <v>3.8220000000000001</v>
      </c>
      <c r="E19" s="53">
        <v>0.49076999999999998</v>
      </c>
      <c r="F19" s="53">
        <f t="shared" si="0"/>
        <v>0.31031996456413891</v>
      </c>
      <c r="G19" s="54">
        <f>$J$18</f>
        <v>1061.2869156599268</v>
      </c>
      <c r="H19" s="54">
        <f t="shared" si="1"/>
        <v>329.33851805997273</v>
      </c>
      <c r="I19" s="54">
        <f t="shared" si="2"/>
        <v>929.39329796524305</v>
      </c>
      <c r="J19" s="58">
        <f t="shared" si="3"/>
        <v>1990.6802136251699</v>
      </c>
    </row>
    <row r="20" spans="2:10" ht="15" customHeight="1" x14ac:dyDescent="0.2">
      <c r="B20" s="48">
        <v>13</v>
      </c>
      <c r="C20" s="48" t="s">
        <v>330</v>
      </c>
      <c r="D20" s="49">
        <v>2.2400000000000002</v>
      </c>
      <c r="E20" s="29">
        <v>0.68447999999999998</v>
      </c>
      <c r="F20" s="29">
        <f t="shared" si="0"/>
        <v>0.43002838709677416</v>
      </c>
      <c r="G20" s="30">
        <f>$J$19</f>
        <v>1990.6802136251699</v>
      </c>
      <c r="H20" s="30">
        <f t="shared" si="1"/>
        <v>856.04900149069363</v>
      </c>
      <c r="I20" s="30">
        <f t="shared" si="2"/>
        <v>1061.5007618484603</v>
      </c>
      <c r="J20" s="58">
        <f t="shared" si="3"/>
        <v>3052.1809754736305</v>
      </c>
    </row>
    <row r="21" spans="2:10" ht="15" customHeight="1" x14ac:dyDescent="0.2">
      <c r="B21" s="51">
        <v>14</v>
      </c>
      <c r="C21" s="51" t="s">
        <v>331</v>
      </c>
      <c r="D21" s="52">
        <v>1.34</v>
      </c>
      <c r="E21" s="53">
        <v>0.84</v>
      </c>
      <c r="F21" s="53">
        <f t="shared" si="0"/>
        <v>0.36941176470588205</v>
      </c>
      <c r="G21" s="54">
        <f>$J$20</f>
        <v>3052.1809754736305</v>
      </c>
      <c r="H21" s="54">
        <f t="shared" si="1"/>
        <v>1127.5115603514344</v>
      </c>
      <c r="I21" s="54">
        <f t="shared" si="2"/>
        <v>383.35393051948779</v>
      </c>
      <c r="J21" s="58">
        <f t="shared" si="3"/>
        <v>3435.5349059931182</v>
      </c>
    </row>
    <row r="22" spans="2:10" ht="15" customHeight="1" x14ac:dyDescent="0.2">
      <c r="B22" s="48">
        <v>15</v>
      </c>
      <c r="C22" s="48" t="s">
        <v>332</v>
      </c>
      <c r="D22" s="49">
        <v>1.911</v>
      </c>
      <c r="E22" s="29">
        <v>0.62780000000000002</v>
      </c>
      <c r="F22" s="29">
        <f t="shared" si="0"/>
        <v>0.21923798024149305</v>
      </c>
      <c r="G22" s="30">
        <f>$J$21</f>
        <v>3435.5349059931182</v>
      </c>
      <c r="H22" s="30">
        <f t="shared" si="1"/>
        <v>753.19973383907893</v>
      </c>
      <c r="I22" s="30">
        <f t="shared" si="2"/>
        <v>686.16495752740093</v>
      </c>
      <c r="J22" s="58">
        <f t="shared" si="3"/>
        <v>4121.6998635205191</v>
      </c>
    </row>
    <row r="23" spans="2:10" ht="15" customHeight="1" x14ac:dyDescent="0.2">
      <c r="B23" s="51">
        <v>16</v>
      </c>
      <c r="C23" s="51" t="s">
        <v>333</v>
      </c>
      <c r="D23" s="52">
        <v>1.44</v>
      </c>
      <c r="E23" s="53">
        <v>0.86450000000000005</v>
      </c>
      <c r="F23" s="53">
        <f t="shared" si="0"/>
        <v>0.55654545454545457</v>
      </c>
      <c r="G23" s="54">
        <f>$J$22</f>
        <v>4121.6998635205191</v>
      </c>
      <c r="H23" s="54">
        <f t="shared" si="1"/>
        <v>2293.9133240429655</v>
      </c>
      <c r="I23" s="54">
        <f t="shared" si="2"/>
        <v>1009.3218625789048</v>
      </c>
      <c r="J23" s="58">
        <f t="shared" si="3"/>
        <v>5131.0217260994241</v>
      </c>
    </row>
    <row r="24" spans="2:10" ht="15" customHeight="1" x14ac:dyDescent="0.2">
      <c r="B24" s="177" t="s">
        <v>334</v>
      </c>
      <c r="C24" s="176"/>
      <c r="D24" s="176"/>
      <c r="E24" s="176"/>
      <c r="F24" s="176"/>
      <c r="G24" s="176"/>
      <c r="H24" s="55">
        <f>SUM(H8:H23)</f>
        <v>7264.4806699501987</v>
      </c>
      <c r="I24" s="55">
        <f>SUM(I8:I23)</f>
        <v>5031.0217260994232</v>
      </c>
      <c r="J24" s="56">
        <f>J23</f>
        <v>5131.0217260994241</v>
      </c>
    </row>
    <row r="26" spans="2:10" ht="30" customHeight="1" x14ac:dyDescent="0.2">
      <c r="B26" s="167" t="s">
        <v>335</v>
      </c>
      <c r="C26" s="143"/>
      <c r="D26" s="143"/>
      <c r="E26" s="143"/>
      <c r="F26" s="143"/>
      <c r="G26" s="143"/>
      <c r="H26" s="143"/>
      <c r="I26" s="143"/>
      <c r="J26" s="143"/>
    </row>
  </sheetData>
  <mergeCells count="5">
    <mergeCell ref="B24:G24"/>
    <mergeCell ref="B3:J3"/>
    <mergeCell ref="B5:D5"/>
    <mergeCell ref="B26:J26"/>
    <mergeCell ref="B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G40"/>
  <sheetViews>
    <sheetView showGridLines="0" zoomScale="175"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D7" sqref="D7"/>
    </sheetView>
  </sheetViews>
  <sheetFormatPr baseColWidth="10" defaultColWidth="8.6640625" defaultRowHeight="15" x14ac:dyDescent="0.2"/>
  <cols>
    <col min="1" max="1" width="2" customWidth="1"/>
    <col min="2" max="2" width="7" customWidth="1"/>
    <col min="3" max="3" width="11" customWidth="1"/>
    <col min="5" max="5" width="12" customWidth="1"/>
    <col min="6" max="6" width="11" customWidth="1"/>
    <col min="8" max="8" width="3" customWidth="1"/>
  </cols>
  <sheetData>
    <row r="2" spans="2:7" ht="27.75" customHeight="1" x14ac:dyDescent="0.2">
      <c r="B2" s="174" t="s">
        <v>338</v>
      </c>
      <c r="C2" s="143"/>
      <c r="D2" s="143"/>
      <c r="E2" s="143"/>
      <c r="F2" s="143"/>
      <c r="G2" s="143"/>
    </row>
    <row r="3" spans="2:7" ht="31.5" customHeight="1" x14ac:dyDescent="0.2">
      <c r="B3" s="170" t="s">
        <v>339</v>
      </c>
      <c r="C3" s="143"/>
      <c r="D3" s="143"/>
      <c r="E3" s="143"/>
      <c r="F3" s="143"/>
      <c r="G3" s="143"/>
    </row>
    <row r="5" spans="2:7" ht="23.25" customHeight="1" x14ac:dyDescent="0.2">
      <c r="B5" s="186" t="s">
        <v>340</v>
      </c>
      <c r="C5" s="176"/>
      <c r="D5" s="59">
        <v>30</v>
      </c>
    </row>
    <row r="7" spans="2:7" ht="27.75" customHeight="1" x14ac:dyDescent="0.2">
      <c r="B7" s="24" t="s">
        <v>102</v>
      </c>
      <c r="C7" s="24" t="s">
        <v>341</v>
      </c>
      <c r="D7" s="24" t="s">
        <v>342</v>
      </c>
      <c r="E7" s="24" t="s">
        <v>343</v>
      </c>
      <c r="F7" s="24" t="s">
        <v>344</v>
      </c>
      <c r="G7" s="24" t="s">
        <v>345</v>
      </c>
    </row>
    <row r="8" spans="2:7" ht="15" customHeight="1" x14ac:dyDescent="0.2">
      <c r="B8" s="60">
        <v>1</v>
      </c>
      <c r="C8" s="61">
        <v>195.6</v>
      </c>
      <c r="D8" s="62">
        <f t="shared" ref="D8:D25" si="0">$D$5*C8</f>
        <v>5868</v>
      </c>
      <c r="E8" s="63">
        <f t="shared" ref="E8:E25" si="1">$D$5*C8-$D$5</f>
        <v>5838</v>
      </c>
      <c r="F8" s="53">
        <v>5.83437463441678E-2</v>
      </c>
      <c r="G8" s="51">
        <v>16</v>
      </c>
    </row>
    <row r="9" spans="2:7" ht="15" customHeight="1" x14ac:dyDescent="0.2">
      <c r="B9" s="64">
        <v>2</v>
      </c>
      <c r="C9" s="65">
        <v>192.7</v>
      </c>
      <c r="D9" s="66">
        <f t="shared" si="0"/>
        <v>5781</v>
      </c>
      <c r="E9" s="67">
        <f t="shared" si="1"/>
        <v>5751</v>
      </c>
      <c r="F9" s="29">
        <v>6.0243111595787199E-2</v>
      </c>
      <c r="G9" s="48">
        <v>15</v>
      </c>
    </row>
    <row r="10" spans="2:7" ht="15" customHeight="1" x14ac:dyDescent="0.2">
      <c r="B10" s="60">
        <v>3</v>
      </c>
      <c r="C10" s="61">
        <v>187.5</v>
      </c>
      <c r="D10" s="62">
        <f t="shared" si="0"/>
        <v>5625</v>
      </c>
      <c r="E10" s="63">
        <f t="shared" si="1"/>
        <v>5595</v>
      </c>
      <c r="F10" s="53">
        <v>4.85883382553313E-2</v>
      </c>
      <c r="G10" s="51">
        <v>16</v>
      </c>
    </row>
    <row r="11" spans="2:7" ht="15" customHeight="1" x14ac:dyDescent="0.2">
      <c r="B11" s="64">
        <v>4</v>
      </c>
      <c r="C11" s="65">
        <v>187.4</v>
      </c>
      <c r="D11" s="66">
        <f t="shared" si="0"/>
        <v>5622</v>
      </c>
      <c r="E11" s="67">
        <f t="shared" si="1"/>
        <v>5592</v>
      </c>
      <c r="F11" s="29">
        <v>3.9022682611837098E-2</v>
      </c>
      <c r="G11" s="48">
        <v>16</v>
      </c>
    </row>
    <row r="12" spans="2:7" ht="15" customHeight="1" x14ac:dyDescent="0.2">
      <c r="B12" s="60">
        <v>5</v>
      </c>
      <c r="C12" s="61">
        <v>186.8</v>
      </c>
      <c r="D12" s="62">
        <f t="shared" si="0"/>
        <v>5604</v>
      </c>
      <c r="E12" s="63">
        <f t="shared" si="1"/>
        <v>5574</v>
      </c>
      <c r="F12" s="53">
        <v>5.2815539201698E-2</v>
      </c>
      <c r="G12" s="51">
        <v>17</v>
      </c>
    </row>
    <row r="13" spans="2:7" ht="15" customHeight="1" x14ac:dyDescent="0.2">
      <c r="B13" s="64">
        <v>6</v>
      </c>
      <c r="C13" s="65">
        <v>186.7</v>
      </c>
      <c r="D13" s="66">
        <f t="shared" si="0"/>
        <v>5601</v>
      </c>
      <c r="E13" s="67">
        <f t="shared" si="1"/>
        <v>5571</v>
      </c>
      <c r="F13" s="29">
        <v>4.67395553179238E-2</v>
      </c>
      <c r="G13" s="48">
        <v>15</v>
      </c>
    </row>
    <row r="14" spans="2:7" ht="15" customHeight="1" x14ac:dyDescent="0.2">
      <c r="B14" s="60">
        <v>7</v>
      </c>
      <c r="C14" s="61">
        <v>184.9</v>
      </c>
      <c r="D14" s="62">
        <f t="shared" si="0"/>
        <v>5547</v>
      </c>
      <c r="E14" s="63">
        <f t="shared" si="1"/>
        <v>5517</v>
      </c>
      <c r="F14" s="53">
        <v>5.90186734672941E-2</v>
      </c>
      <c r="G14" s="51">
        <v>17</v>
      </c>
    </row>
    <row r="15" spans="2:7" ht="15" customHeight="1" x14ac:dyDescent="0.2">
      <c r="B15" s="64">
        <v>8</v>
      </c>
      <c r="C15" s="65">
        <v>181.5</v>
      </c>
      <c r="D15" s="66">
        <f t="shared" si="0"/>
        <v>5445</v>
      </c>
      <c r="E15" s="67">
        <f t="shared" si="1"/>
        <v>5415</v>
      </c>
      <c r="F15" s="29">
        <v>5.7062465603295899E-2</v>
      </c>
      <c r="G15" s="48">
        <v>17</v>
      </c>
    </row>
    <row r="16" spans="2:7" ht="15" customHeight="1" x14ac:dyDescent="0.2">
      <c r="B16" s="60">
        <v>9</v>
      </c>
      <c r="C16" s="61">
        <v>180.7</v>
      </c>
      <c r="D16" s="62">
        <f t="shared" si="0"/>
        <v>5421</v>
      </c>
      <c r="E16" s="63">
        <f t="shared" si="1"/>
        <v>5391</v>
      </c>
      <c r="F16" s="53">
        <v>4.0521292874227802E-2</v>
      </c>
      <c r="G16" s="51">
        <v>16</v>
      </c>
    </row>
    <row r="17" spans="2:7" ht="15" customHeight="1" x14ac:dyDescent="0.2">
      <c r="B17" s="64">
        <v>10</v>
      </c>
      <c r="C17" s="65">
        <v>176.2</v>
      </c>
      <c r="D17" s="66">
        <f t="shared" si="0"/>
        <v>5286</v>
      </c>
      <c r="E17" s="67">
        <f t="shared" si="1"/>
        <v>5256</v>
      </c>
      <c r="F17" s="29">
        <v>3.6118343070897403E-2</v>
      </c>
      <c r="G17" s="48">
        <v>17</v>
      </c>
    </row>
    <row r="18" spans="2:7" ht="15" customHeight="1" x14ac:dyDescent="0.2">
      <c r="B18" s="60">
        <v>11</v>
      </c>
      <c r="C18" s="61">
        <v>174.1</v>
      </c>
      <c r="D18" s="62">
        <f t="shared" si="0"/>
        <v>5223</v>
      </c>
      <c r="E18" s="63">
        <f t="shared" si="1"/>
        <v>5193</v>
      </c>
      <c r="F18" s="53">
        <v>6.1912723947682498E-2</v>
      </c>
      <c r="G18" s="51">
        <v>15</v>
      </c>
    </row>
    <row r="19" spans="2:7" ht="15" customHeight="1" x14ac:dyDescent="0.2">
      <c r="B19" s="64">
        <v>12</v>
      </c>
      <c r="C19" s="65">
        <v>173.3</v>
      </c>
      <c r="D19" s="66">
        <f t="shared" si="0"/>
        <v>5199</v>
      </c>
      <c r="E19" s="67">
        <f t="shared" si="1"/>
        <v>5169</v>
      </c>
      <c r="F19" s="29">
        <v>6.1260499888941597E-2</v>
      </c>
      <c r="G19" s="48">
        <v>15</v>
      </c>
    </row>
    <row r="20" spans="2:7" ht="15" customHeight="1" x14ac:dyDescent="0.2">
      <c r="B20" s="60">
        <v>13</v>
      </c>
      <c r="C20" s="61">
        <v>171.9</v>
      </c>
      <c r="D20" s="62">
        <f t="shared" si="0"/>
        <v>5157</v>
      </c>
      <c r="E20" s="63">
        <f t="shared" si="1"/>
        <v>5127</v>
      </c>
      <c r="F20" s="53">
        <v>5.8741702846977099E-2</v>
      </c>
      <c r="G20" s="51">
        <v>17</v>
      </c>
    </row>
    <row r="21" spans="2:7" ht="15" customHeight="1" x14ac:dyDescent="0.2">
      <c r="B21" s="64">
        <v>14</v>
      </c>
      <c r="C21" s="65">
        <v>171.8</v>
      </c>
      <c r="D21" s="66">
        <f t="shared" si="0"/>
        <v>5154</v>
      </c>
      <c r="E21" s="67">
        <f t="shared" si="1"/>
        <v>5124</v>
      </c>
      <c r="F21" s="29">
        <v>3.8310935393128603E-2</v>
      </c>
      <c r="G21" s="48">
        <v>13</v>
      </c>
    </row>
    <row r="22" spans="2:7" ht="15" customHeight="1" x14ac:dyDescent="0.2">
      <c r="B22" s="60">
        <v>15</v>
      </c>
      <c r="C22" s="61">
        <v>171.2</v>
      </c>
      <c r="D22" s="62">
        <f t="shared" si="0"/>
        <v>5136</v>
      </c>
      <c r="E22" s="63">
        <f t="shared" si="1"/>
        <v>5106</v>
      </c>
      <c r="F22" s="53">
        <v>5.6469290190268702E-2</v>
      </c>
      <c r="G22" s="51">
        <v>17</v>
      </c>
    </row>
    <row r="23" spans="2:7" ht="15" customHeight="1" x14ac:dyDescent="0.2">
      <c r="B23" s="64">
        <v>16</v>
      </c>
      <c r="C23" s="65">
        <v>170.8</v>
      </c>
      <c r="D23" s="66">
        <f t="shared" si="0"/>
        <v>5124</v>
      </c>
      <c r="E23" s="67">
        <f t="shared" si="1"/>
        <v>5094</v>
      </c>
      <c r="F23" s="29">
        <v>4.5795091051461602E-2</v>
      </c>
      <c r="G23" s="48">
        <v>17</v>
      </c>
    </row>
    <row r="24" spans="2:7" ht="15" customHeight="1" x14ac:dyDescent="0.2">
      <c r="B24" s="60">
        <v>17</v>
      </c>
      <c r="C24" s="61">
        <v>170.7</v>
      </c>
      <c r="D24" s="62">
        <f t="shared" si="0"/>
        <v>5121</v>
      </c>
      <c r="E24" s="63">
        <f t="shared" si="1"/>
        <v>5091</v>
      </c>
      <c r="F24" s="53">
        <v>4.64633261074065E-2</v>
      </c>
      <c r="G24" s="51">
        <v>14</v>
      </c>
    </row>
    <row r="25" spans="2:7" ht="15" customHeight="1" x14ac:dyDescent="0.2">
      <c r="B25" s="64">
        <v>18</v>
      </c>
      <c r="C25" s="65">
        <v>170.2</v>
      </c>
      <c r="D25" s="66">
        <f t="shared" si="0"/>
        <v>5106</v>
      </c>
      <c r="E25" s="67">
        <f t="shared" si="1"/>
        <v>5076</v>
      </c>
      <c r="F25" s="29">
        <v>4.3278356511117701E-2</v>
      </c>
      <c r="G25" s="48">
        <v>17</v>
      </c>
    </row>
    <row r="26" spans="2:7" ht="23.25" customHeight="1" x14ac:dyDescent="0.2">
      <c r="B26" s="187" t="s">
        <v>346</v>
      </c>
      <c r="C26" s="164"/>
      <c r="D26" s="68">
        <f>$D$5*18</f>
        <v>540</v>
      </c>
      <c r="E26" s="69"/>
      <c r="F26" s="69"/>
      <c r="G26" s="69"/>
    </row>
    <row r="28" spans="2:7" ht="15" customHeight="1" x14ac:dyDescent="0.2">
      <c r="B28" s="181" t="s">
        <v>347</v>
      </c>
      <c r="C28" s="143"/>
      <c r="D28" s="143"/>
      <c r="E28" s="143"/>
      <c r="F28" s="143"/>
      <c r="G28" s="143"/>
    </row>
    <row r="29" spans="2:7" ht="30" customHeight="1" x14ac:dyDescent="0.2">
      <c r="B29" s="70" t="s">
        <v>348</v>
      </c>
      <c r="C29" s="180" t="s">
        <v>349</v>
      </c>
      <c r="D29" s="176"/>
      <c r="E29" s="176"/>
      <c r="F29" s="176"/>
      <c r="G29" s="176"/>
    </row>
    <row r="30" spans="2:7" ht="30" customHeight="1" x14ac:dyDescent="0.2">
      <c r="B30" s="70" t="s">
        <v>350</v>
      </c>
      <c r="C30" s="180" t="s">
        <v>351</v>
      </c>
      <c r="D30" s="176"/>
      <c r="E30" s="176"/>
      <c r="F30" s="176"/>
      <c r="G30" s="176"/>
    </row>
    <row r="31" spans="2:7" ht="30" customHeight="1" x14ac:dyDescent="0.2">
      <c r="B31" s="71" t="s">
        <v>352</v>
      </c>
      <c r="C31" s="183" t="s">
        <v>353</v>
      </c>
      <c r="D31" s="176"/>
      <c r="E31" s="176"/>
      <c r="F31" s="176"/>
      <c r="G31" s="176"/>
    </row>
    <row r="32" spans="2:7" ht="30" customHeight="1" x14ac:dyDescent="0.2">
      <c r="B32" s="72" t="s">
        <v>354</v>
      </c>
      <c r="C32" s="185" t="s">
        <v>355</v>
      </c>
      <c r="D32" s="176"/>
      <c r="E32" s="176"/>
      <c r="F32" s="176"/>
      <c r="G32" s="176"/>
    </row>
    <row r="34" spans="2:7" ht="26.25" customHeight="1" x14ac:dyDescent="0.2">
      <c r="B34" s="173" t="s">
        <v>356</v>
      </c>
      <c r="C34" s="143"/>
      <c r="D34" s="143"/>
      <c r="E34" s="143"/>
      <c r="F34" s="143"/>
      <c r="G34" s="143"/>
    </row>
    <row r="35" spans="2:7" ht="25.5" customHeight="1" x14ac:dyDescent="0.2">
      <c r="B35" s="184" t="s">
        <v>357</v>
      </c>
      <c r="C35" s="164"/>
      <c r="D35" s="73" t="s">
        <v>358</v>
      </c>
      <c r="E35" s="182" t="s">
        <v>359</v>
      </c>
      <c r="F35" s="176"/>
      <c r="G35" s="176"/>
    </row>
    <row r="36" spans="2:7" ht="25.5" customHeight="1" x14ac:dyDescent="0.2">
      <c r="B36" s="184" t="s">
        <v>360</v>
      </c>
      <c r="C36" s="164"/>
      <c r="D36" s="73" t="s">
        <v>361</v>
      </c>
      <c r="E36" s="182" t="s">
        <v>362</v>
      </c>
      <c r="F36" s="176"/>
      <c r="G36" s="176"/>
    </row>
    <row r="37" spans="2:7" ht="25.5" customHeight="1" x14ac:dyDescent="0.2">
      <c r="B37" s="184" t="s">
        <v>363</v>
      </c>
      <c r="C37" s="164"/>
      <c r="D37" s="73" t="s">
        <v>364</v>
      </c>
      <c r="E37" s="182" t="s">
        <v>365</v>
      </c>
      <c r="F37" s="176"/>
      <c r="G37" s="176"/>
    </row>
    <row r="38" spans="2:7" ht="25.5" customHeight="1" x14ac:dyDescent="0.2">
      <c r="B38" s="184" t="s">
        <v>366</v>
      </c>
      <c r="C38" s="164"/>
      <c r="D38" s="73" t="s">
        <v>367</v>
      </c>
      <c r="E38" s="182" t="s">
        <v>368</v>
      </c>
      <c r="F38" s="176"/>
      <c r="G38" s="176"/>
    </row>
    <row r="40" spans="2:7" ht="69.75" customHeight="1" x14ac:dyDescent="0.2">
      <c r="B40" s="167" t="s">
        <v>369</v>
      </c>
      <c r="C40" s="143"/>
      <c r="D40" s="143"/>
      <c r="E40" s="143"/>
      <c r="F40" s="143"/>
      <c r="G40" s="143"/>
    </row>
  </sheetData>
  <mergeCells count="19">
    <mergeCell ref="E36:G36"/>
    <mergeCell ref="B40:G40"/>
    <mergeCell ref="C31:G31"/>
    <mergeCell ref="B38:C38"/>
    <mergeCell ref="E37:G37"/>
    <mergeCell ref="B37:C37"/>
    <mergeCell ref="C32:G32"/>
    <mergeCell ref="B36:C36"/>
    <mergeCell ref="E35:G35"/>
    <mergeCell ref="B35:C35"/>
    <mergeCell ref="E38:G38"/>
    <mergeCell ref="B2:G2"/>
    <mergeCell ref="C30:G30"/>
    <mergeCell ref="B34:G34"/>
    <mergeCell ref="C29:G29"/>
    <mergeCell ref="B28:G28"/>
    <mergeCell ref="B3:G3"/>
    <mergeCell ref="B5:C5"/>
    <mergeCell ref="B26:C26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E343"/>
  <sheetViews>
    <sheetView showGridLines="0" topLeftCell="A59" zoomScale="143" zoomScaleNormal="100" workbookViewId="0"/>
  </sheetViews>
  <sheetFormatPr baseColWidth="10" defaultColWidth="8.6640625" defaultRowHeight="15" x14ac:dyDescent="0.2"/>
  <cols>
    <col min="1" max="1" width="2" customWidth="1"/>
    <col min="2" max="2" width="9" customWidth="1"/>
    <col min="3" max="3" width="30" customWidth="1"/>
    <col min="4" max="4" width="22" customWidth="1"/>
    <col min="5" max="5" width="9" customWidth="1"/>
  </cols>
  <sheetData>
    <row r="2" spans="2:5" ht="25.5" customHeight="1" x14ac:dyDescent="0.2">
      <c r="B2" s="179" t="s">
        <v>370</v>
      </c>
      <c r="C2" s="143"/>
      <c r="D2" s="143"/>
      <c r="E2" s="143"/>
    </row>
    <row r="4" spans="2:5" ht="23.25" customHeight="1" x14ac:dyDescent="0.2">
      <c r="B4" s="188" t="s">
        <v>371</v>
      </c>
      <c r="C4" s="143"/>
      <c r="D4" s="143"/>
      <c r="E4" s="143"/>
    </row>
    <row r="5" spans="2:5" ht="15" customHeight="1" x14ac:dyDescent="0.2">
      <c r="B5" s="74" t="s">
        <v>310</v>
      </c>
      <c r="C5" s="74" t="s">
        <v>104</v>
      </c>
      <c r="D5" s="74" t="s">
        <v>372</v>
      </c>
      <c r="E5" s="74" t="s">
        <v>105</v>
      </c>
    </row>
    <row r="6" spans="2:5" ht="15" customHeight="1" x14ac:dyDescent="0.2">
      <c r="B6" s="75" t="s">
        <v>318</v>
      </c>
      <c r="C6" s="76" t="s">
        <v>373</v>
      </c>
      <c r="D6" s="77" t="s">
        <v>374</v>
      </c>
      <c r="E6" s="78">
        <v>1.45</v>
      </c>
    </row>
    <row r="7" spans="2:5" ht="15" customHeight="1" x14ac:dyDescent="0.2">
      <c r="B7" s="75" t="s">
        <v>319</v>
      </c>
      <c r="C7" s="76" t="s">
        <v>109</v>
      </c>
      <c r="D7" s="77" t="s">
        <v>108</v>
      </c>
      <c r="E7" s="78">
        <v>1.26</v>
      </c>
    </row>
    <row r="8" spans="2:5" ht="15" customHeight="1" x14ac:dyDescent="0.2">
      <c r="B8" s="75" t="s">
        <v>319</v>
      </c>
      <c r="C8" s="76" t="s">
        <v>375</v>
      </c>
      <c r="D8" s="77" t="s">
        <v>376</v>
      </c>
      <c r="E8" s="78">
        <v>1.8</v>
      </c>
    </row>
    <row r="9" spans="2:5" ht="15" customHeight="1" x14ac:dyDescent="0.2">
      <c r="B9" s="75" t="s">
        <v>323</v>
      </c>
      <c r="C9" s="76" t="s">
        <v>123</v>
      </c>
      <c r="D9" s="77" t="s">
        <v>122</v>
      </c>
      <c r="E9" s="78">
        <v>1.28</v>
      </c>
    </row>
    <row r="10" spans="2:5" ht="15" customHeight="1" x14ac:dyDescent="0.2">
      <c r="B10" s="75" t="s">
        <v>325</v>
      </c>
      <c r="C10" s="76" t="s">
        <v>152</v>
      </c>
      <c r="D10" s="77" t="s">
        <v>138</v>
      </c>
      <c r="E10" s="78">
        <v>2.0499999999999998</v>
      </c>
    </row>
    <row r="11" spans="2:5" ht="15" customHeight="1" x14ac:dyDescent="0.2">
      <c r="B11" s="75" t="s">
        <v>327</v>
      </c>
      <c r="C11" s="76" t="s">
        <v>377</v>
      </c>
      <c r="D11" s="77" t="s">
        <v>378</v>
      </c>
      <c r="E11" s="78">
        <v>1.47</v>
      </c>
    </row>
    <row r="12" spans="2:5" ht="15" customHeight="1" x14ac:dyDescent="0.2">
      <c r="B12" s="75" t="s">
        <v>327</v>
      </c>
      <c r="C12" s="76" t="s">
        <v>186</v>
      </c>
      <c r="D12" s="77" t="s">
        <v>182</v>
      </c>
      <c r="E12" s="78">
        <v>1.47</v>
      </c>
    </row>
    <row r="13" spans="2:5" ht="15" customHeight="1" x14ac:dyDescent="0.2">
      <c r="B13" s="75" t="s">
        <v>329</v>
      </c>
      <c r="C13" s="76" t="s">
        <v>379</v>
      </c>
      <c r="D13" s="77" t="s">
        <v>122</v>
      </c>
      <c r="E13" s="78">
        <v>1.27</v>
      </c>
    </row>
    <row r="14" spans="2:5" ht="15" customHeight="1" x14ac:dyDescent="0.2">
      <c r="B14" s="75" t="s">
        <v>330</v>
      </c>
      <c r="C14" s="76" t="s">
        <v>380</v>
      </c>
      <c r="D14" s="77" t="s">
        <v>138</v>
      </c>
      <c r="E14" s="78">
        <v>1.26</v>
      </c>
    </row>
    <row r="15" spans="2:5" ht="15" customHeight="1" x14ac:dyDescent="0.2">
      <c r="B15" s="75" t="s">
        <v>330</v>
      </c>
      <c r="C15" s="76" t="s">
        <v>381</v>
      </c>
      <c r="D15" s="77" t="s">
        <v>382</v>
      </c>
      <c r="E15" s="78">
        <v>1.27</v>
      </c>
    </row>
    <row r="16" spans="2:5" ht="15" customHeight="1" x14ac:dyDescent="0.2">
      <c r="B16" s="75" t="s">
        <v>330</v>
      </c>
      <c r="C16" s="76" t="s">
        <v>137</v>
      </c>
      <c r="D16" s="77" t="s">
        <v>130</v>
      </c>
      <c r="E16" s="78">
        <v>1.4</v>
      </c>
    </row>
    <row r="17" spans="2:5" ht="15" customHeight="1" x14ac:dyDescent="0.2">
      <c r="B17" s="75" t="s">
        <v>331</v>
      </c>
      <c r="C17" s="76" t="s">
        <v>168</v>
      </c>
      <c r="D17" s="77" t="s">
        <v>383</v>
      </c>
      <c r="E17" s="78">
        <v>1.34</v>
      </c>
    </row>
    <row r="18" spans="2:5" ht="15" customHeight="1" x14ac:dyDescent="0.2">
      <c r="B18" s="75" t="s">
        <v>332</v>
      </c>
      <c r="C18" s="76" t="s">
        <v>384</v>
      </c>
      <c r="D18" s="77" t="s">
        <v>378</v>
      </c>
      <c r="E18" s="78">
        <v>1.3</v>
      </c>
    </row>
    <row r="19" spans="2:5" ht="15" customHeight="1" x14ac:dyDescent="0.2">
      <c r="B19" s="75" t="s">
        <v>332</v>
      </c>
      <c r="C19" s="76" t="s">
        <v>174</v>
      </c>
      <c r="D19" s="77" t="s">
        <v>173</v>
      </c>
      <c r="E19" s="78">
        <v>1.47</v>
      </c>
    </row>
    <row r="20" spans="2:5" ht="15" customHeight="1" x14ac:dyDescent="0.2">
      <c r="B20" s="75" t="s">
        <v>333</v>
      </c>
      <c r="C20" s="76" t="s">
        <v>385</v>
      </c>
      <c r="D20" s="77" t="s">
        <v>142</v>
      </c>
      <c r="E20" s="78">
        <v>1.2</v>
      </c>
    </row>
    <row r="21" spans="2:5" ht="15" customHeight="1" x14ac:dyDescent="0.2">
      <c r="B21" s="75" t="s">
        <v>333</v>
      </c>
      <c r="C21" s="76" t="s">
        <v>386</v>
      </c>
      <c r="D21" s="77" t="s">
        <v>118</v>
      </c>
      <c r="E21" s="78">
        <v>1.2</v>
      </c>
    </row>
    <row r="23" spans="2:5" ht="23.25" customHeight="1" x14ac:dyDescent="0.2">
      <c r="B23" s="188" t="s">
        <v>387</v>
      </c>
      <c r="C23" s="143"/>
      <c r="D23" s="143"/>
      <c r="E23" s="143"/>
    </row>
    <row r="24" spans="2:5" ht="15" customHeight="1" x14ac:dyDescent="0.2">
      <c r="B24" s="74" t="s">
        <v>310</v>
      </c>
      <c r="C24" s="74" t="s">
        <v>104</v>
      </c>
      <c r="D24" s="74" t="s">
        <v>372</v>
      </c>
      <c r="E24" s="74" t="s">
        <v>105</v>
      </c>
    </row>
    <row r="25" spans="2:5" ht="15" customHeight="1" x14ac:dyDescent="0.2">
      <c r="B25" s="75" t="s">
        <v>319</v>
      </c>
      <c r="C25" s="76" t="s">
        <v>109</v>
      </c>
      <c r="D25" s="77" t="s">
        <v>108</v>
      </c>
      <c r="E25" s="78">
        <v>1.26</v>
      </c>
    </row>
    <row r="26" spans="2:5" ht="15" customHeight="1" x14ac:dyDescent="0.2">
      <c r="B26" s="75" t="s">
        <v>319</v>
      </c>
      <c r="C26" s="76" t="s">
        <v>375</v>
      </c>
      <c r="D26" s="77" t="s">
        <v>376</v>
      </c>
      <c r="E26" s="78">
        <v>1.8</v>
      </c>
    </row>
    <row r="27" spans="2:5" ht="15" customHeight="1" x14ac:dyDescent="0.2">
      <c r="B27" s="75" t="s">
        <v>321</v>
      </c>
      <c r="C27" s="76" t="s">
        <v>183</v>
      </c>
      <c r="D27" s="77" t="s">
        <v>182</v>
      </c>
      <c r="E27" s="78">
        <v>1.5</v>
      </c>
    </row>
    <row r="28" spans="2:5" ht="15" customHeight="1" x14ac:dyDescent="0.2">
      <c r="B28" s="75" t="s">
        <v>322</v>
      </c>
      <c r="C28" s="76" t="s">
        <v>117</v>
      </c>
      <c r="D28" s="77" t="s">
        <v>116</v>
      </c>
      <c r="E28" s="78">
        <v>1.23</v>
      </c>
    </row>
    <row r="29" spans="2:5" ht="15" customHeight="1" x14ac:dyDescent="0.2">
      <c r="B29" s="75" t="s">
        <v>322</v>
      </c>
      <c r="C29" s="76" t="s">
        <v>388</v>
      </c>
      <c r="D29" s="77" t="s">
        <v>120</v>
      </c>
      <c r="E29" s="78">
        <v>1.34</v>
      </c>
    </row>
    <row r="30" spans="2:5" ht="15" customHeight="1" x14ac:dyDescent="0.2">
      <c r="B30" s="75" t="s">
        <v>323</v>
      </c>
      <c r="C30" s="76" t="s">
        <v>123</v>
      </c>
      <c r="D30" s="77" t="s">
        <v>122</v>
      </c>
      <c r="E30" s="78">
        <v>1.28</v>
      </c>
    </row>
    <row r="31" spans="2:5" ht="15" customHeight="1" x14ac:dyDescent="0.2">
      <c r="B31" s="75" t="s">
        <v>323</v>
      </c>
      <c r="C31" s="76" t="s">
        <v>389</v>
      </c>
      <c r="D31" s="77" t="s">
        <v>150</v>
      </c>
      <c r="E31" s="78">
        <v>1.42</v>
      </c>
    </row>
    <row r="32" spans="2:5" ht="15" customHeight="1" x14ac:dyDescent="0.2">
      <c r="B32" s="75" t="s">
        <v>325</v>
      </c>
      <c r="C32" s="76" t="s">
        <v>152</v>
      </c>
      <c r="D32" s="77" t="s">
        <v>138</v>
      </c>
      <c r="E32" s="78">
        <v>2.0499999999999998</v>
      </c>
    </row>
    <row r="33" spans="2:5" ht="15" customHeight="1" x14ac:dyDescent="0.2">
      <c r="B33" s="75" t="s">
        <v>326</v>
      </c>
      <c r="C33" s="76" t="s">
        <v>133</v>
      </c>
      <c r="D33" s="77" t="s">
        <v>132</v>
      </c>
      <c r="E33" s="78">
        <v>1.27</v>
      </c>
    </row>
    <row r="34" spans="2:5" ht="15" customHeight="1" x14ac:dyDescent="0.2">
      <c r="B34" s="75" t="s">
        <v>327</v>
      </c>
      <c r="C34" s="76" t="s">
        <v>377</v>
      </c>
      <c r="D34" s="77" t="s">
        <v>378</v>
      </c>
      <c r="E34" s="78">
        <v>1.47</v>
      </c>
    </row>
    <row r="35" spans="2:5" ht="15" customHeight="1" x14ac:dyDescent="0.2">
      <c r="B35" s="75" t="s">
        <v>329</v>
      </c>
      <c r="C35" s="76" t="s">
        <v>390</v>
      </c>
      <c r="D35" s="77" t="s">
        <v>158</v>
      </c>
      <c r="E35" s="78">
        <v>1.5</v>
      </c>
    </row>
    <row r="36" spans="2:5" ht="15" customHeight="1" x14ac:dyDescent="0.2">
      <c r="B36" s="75" t="s">
        <v>330</v>
      </c>
      <c r="C36" s="76" t="s">
        <v>137</v>
      </c>
      <c r="D36" s="77" t="s">
        <v>130</v>
      </c>
      <c r="E36" s="78">
        <v>1.4</v>
      </c>
    </row>
    <row r="37" spans="2:5" ht="15" customHeight="1" x14ac:dyDescent="0.2">
      <c r="B37" s="75" t="s">
        <v>330</v>
      </c>
      <c r="C37" s="76" t="s">
        <v>381</v>
      </c>
      <c r="D37" s="77" t="s">
        <v>382</v>
      </c>
      <c r="E37" s="78">
        <v>1.27</v>
      </c>
    </row>
    <row r="38" spans="2:5" ht="15" customHeight="1" x14ac:dyDescent="0.2">
      <c r="B38" s="75" t="s">
        <v>330</v>
      </c>
      <c r="C38" s="76" t="s">
        <v>380</v>
      </c>
      <c r="D38" s="77" t="s">
        <v>138</v>
      </c>
      <c r="E38" s="78">
        <v>1.26</v>
      </c>
    </row>
    <row r="39" spans="2:5" ht="15" customHeight="1" x14ac:dyDescent="0.2">
      <c r="B39" s="75" t="s">
        <v>332</v>
      </c>
      <c r="C39" s="76" t="s">
        <v>174</v>
      </c>
      <c r="D39" s="77" t="s">
        <v>173</v>
      </c>
      <c r="E39" s="78">
        <v>1.47</v>
      </c>
    </row>
    <row r="41" spans="2:5" ht="23.25" customHeight="1" x14ac:dyDescent="0.2">
      <c r="B41" s="188" t="s">
        <v>391</v>
      </c>
      <c r="C41" s="143"/>
      <c r="D41" s="143"/>
      <c r="E41" s="143"/>
    </row>
    <row r="42" spans="2:5" ht="15" customHeight="1" x14ac:dyDescent="0.2">
      <c r="B42" s="74" t="s">
        <v>310</v>
      </c>
      <c r="C42" s="74" t="s">
        <v>104</v>
      </c>
      <c r="D42" s="74" t="s">
        <v>372</v>
      </c>
      <c r="E42" s="74" t="s">
        <v>105</v>
      </c>
    </row>
    <row r="43" spans="2:5" ht="15" customHeight="1" x14ac:dyDescent="0.2">
      <c r="B43" s="75" t="s">
        <v>319</v>
      </c>
      <c r="C43" s="76" t="s">
        <v>109</v>
      </c>
      <c r="D43" s="77" t="s">
        <v>108</v>
      </c>
      <c r="E43" s="78">
        <v>1.26</v>
      </c>
    </row>
    <row r="44" spans="2:5" ht="15" customHeight="1" x14ac:dyDescent="0.2">
      <c r="B44" s="75" t="s">
        <v>319</v>
      </c>
      <c r="C44" s="76" t="s">
        <v>375</v>
      </c>
      <c r="D44" s="77" t="s">
        <v>376</v>
      </c>
      <c r="E44" s="78">
        <v>1.8</v>
      </c>
    </row>
    <row r="45" spans="2:5" ht="15" customHeight="1" x14ac:dyDescent="0.2">
      <c r="B45" s="75" t="s">
        <v>321</v>
      </c>
      <c r="C45" s="76" t="s">
        <v>392</v>
      </c>
      <c r="D45" s="77" t="s">
        <v>393</v>
      </c>
      <c r="E45" s="78">
        <v>1.1000000000000001</v>
      </c>
    </row>
    <row r="46" spans="2:5" ht="15" customHeight="1" x14ac:dyDescent="0.2">
      <c r="B46" s="75" t="s">
        <v>321</v>
      </c>
      <c r="C46" s="76" t="s">
        <v>183</v>
      </c>
      <c r="D46" s="77" t="s">
        <v>182</v>
      </c>
      <c r="E46" s="78">
        <v>1.5</v>
      </c>
    </row>
    <row r="47" spans="2:5" ht="15" customHeight="1" x14ac:dyDescent="0.2">
      <c r="B47" s="75" t="s">
        <v>322</v>
      </c>
      <c r="C47" s="76" t="s">
        <v>388</v>
      </c>
      <c r="D47" s="77" t="s">
        <v>120</v>
      </c>
      <c r="E47" s="78">
        <v>1.34</v>
      </c>
    </row>
    <row r="48" spans="2:5" ht="15" customHeight="1" x14ac:dyDescent="0.2">
      <c r="B48" s="75" t="s">
        <v>323</v>
      </c>
      <c r="C48" s="76" t="s">
        <v>394</v>
      </c>
      <c r="D48" s="77" t="s">
        <v>395</v>
      </c>
      <c r="E48" s="78">
        <v>1.29</v>
      </c>
    </row>
    <row r="49" spans="2:5" ht="15" customHeight="1" x14ac:dyDescent="0.2">
      <c r="B49" s="75" t="s">
        <v>324</v>
      </c>
      <c r="C49" s="76" t="s">
        <v>396</v>
      </c>
      <c r="D49" s="77" t="s">
        <v>397</v>
      </c>
      <c r="E49" s="78">
        <v>1.27</v>
      </c>
    </row>
    <row r="50" spans="2:5" ht="15" customHeight="1" x14ac:dyDescent="0.2">
      <c r="B50" s="75" t="s">
        <v>325</v>
      </c>
      <c r="C50" s="76" t="s">
        <v>152</v>
      </c>
      <c r="D50" s="77" t="s">
        <v>138</v>
      </c>
      <c r="E50" s="78">
        <v>2.0499999999999998</v>
      </c>
    </row>
    <row r="51" spans="2:5" ht="15" customHeight="1" x14ac:dyDescent="0.2">
      <c r="B51" s="75" t="s">
        <v>327</v>
      </c>
      <c r="C51" s="76" t="s">
        <v>377</v>
      </c>
      <c r="D51" s="77" t="s">
        <v>378</v>
      </c>
      <c r="E51" s="78">
        <v>1.47</v>
      </c>
    </row>
    <row r="52" spans="2:5" ht="15" customHeight="1" x14ac:dyDescent="0.2">
      <c r="B52" s="75" t="s">
        <v>328</v>
      </c>
      <c r="C52" s="76" t="s">
        <v>135</v>
      </c>
      <c r="D52" s="77" t="s">
        <v>134</v>
      </c>
      <c r="E52" s="78">
        <v>1.1200000000000001</v>
      </c>
    </row>
    <row r="53" spans="2:5" ht="15" customHeight="1" x14ac:dyDescent="0.2">
      <c r="B53" s="75" t="s">
        <v>329</v>
      </c>
      <c r="C53" s="76" t="s">
        <v>164</v>
      </c>
      <c r="D53" s="77" t="s">
        <v>150</v>
      </c>
      <c r="E53" s="78">
        <v>1.52</v>
      </c>
    </row>
    <row r="54" spans="2:5" ht="15" customHeight="1" x14ac:dyDescent="0.2">
      <c r="B54" s="75" t="s">
        <v>329</v>
      </c>
      <c r="C54" s="76" t="s">
        <v>157</v>
      </c>
      <c r="D54" s="77" t="s">
        <v>142</v>
      </c>
      <c r="E54" s="78">
        <v>1.32</v>
      </c>
    </row>
    <row r="55" spans="2:5" ht="15" customHeight="1" x14ac:dyDescent="0.2">
      <c r="B55" s="75" t="s">
        <v>330</v>
      </c>
      <c r="C55" s="76" t="s">
        <v>137</v>
      </c>
      <c r="D55" s="77" t="s">
        <v>130</v>
      </c>
      <c r="E55" s="78">
        <v>1.4</v>
      </c>
    </row>
    <row r="56" spans="2:5" ht="15" customHeight="1" x14ac:dyDescent="0.2">
      <c r="B56" s="75" t="s">
        <v>330</v>
      </c>
      <c r="C56" s="76" t="s">
        <v>380</v>
      </c>
      <c r="D56" s="77" t="s">
        <v>138</v>
      </c>
      <c r="E56" s="78">
        <v>1.26</v>
      </c>
    </row>
    <row r="57" spans="2:5" ht="15" customHeight="1" x14ac:dyDescent="0.2">
      <c r="B57" s="75" t="s">
        <v>332</v>
      </c>
      <c r="C57" s="76" t="s">
        <v>384</v>
      </c>
      <c r="D57" s="77" t="s">
        <v>378</v>
      </c>
      <c r="E57" s="78">
        <v>1.3</v>
      </c>
    </row>
    <row r="58" spans="2:5" ht="15" customHeight="1" x14ac:dyDescent="0.2">
      <c r="B58" s="75" t="s">
        <v>332</v>
      </c>
      <c r="C58" s="76" t="s">
        <v>174</v>
      </c>
      <c r="D58" s="77" t="s">
        <v>173</v>
      </c>
      <c r="E58" s="78">
        <v>1.47</v>
      </c>
    </row>
    <row r="60" spans="2:5" ht="23.25" customHeight="1" x14ac:dyDescent="0.2">
      <c r="B60" s="188" t="s">
        <v>398</v>
      </c>
      <c r="C60" s="143"/>
      <c r="D60" s="143"/>
      <c r="E60" s="143"/>
    </row>
    <row r="61" spans="2:5" ht="15" customHeight="1" x14ac:dyDescent="0.2">
      <c r="B61" s="74" t="s">
        <v>310</v>
      </c>
      <c r="C61" s="74" t="s">
        <v>104</v>
      </c>
      <c r="D61" s="74" t="s">
        <v>372</v>
      </c>
      <c r="E61" s="74" t="s">
        <v>105</v>
      </c>
    </row>
    <row r="62" spans="2:5" ht="15" customHeight="1" x14ac:dyDescent="0.2">
      <c r="B62" s="75" t="s">
        <v>318</v>
      </c>
      <c r="C62" s="76" t="s">
        <v>373</v>
      </c>
      <c r="D62" s="77" t="s">
        <v>374</v>
      </c>
      <c r="E62" s="78">
        <v>1.45</v>
      </c>
    </row>
    <row r="63" spans="2:5" ht="15" customHeight="1" x14ac:dyDescent="0.2">
      <c r="B63" s="75" t="s">
        <v>321</v>
      </c>
      <c r="C63" s="76" t="s">
        <v>183</v>
      </c>
      <c r="D63" s="77" t="s">
        <v>182</v>
      </c>
      <c r="E63" s="78">
        <v>1.5</v>
      </c>
    </row>
    <row r="64" spans="2:5" ht="15" customHeight="1" x14ac:dyDescent="0.2">
      <c r="B64" s="75" t="s">
        <v>322</v>
      </c>
      <c r="C64" s="76" t="s">
        <v>117</v>
      </c>
      <c r="D64" s="77" t="s">
        <v>116</v>
      </c>
      <c r="E64" s="78">
        <v>1.23</v>
      </c>
    </row>
    <row r="65" spans="2:5" ht="15" customHeight="1" x14ac:dyDescent="0.2">
      <c r="B65" s="75" t="s">
        <v>322</v>
      </c>
      <c r="C65" s="76" t="s">
        <v>388</v>
      </c>
      <c r="D65" s="77" t="s">
        <v>120</v>
      </c>
      <c r="E65" s="78">
        <v>1.34</v>
      </c>
    </row>
    <row r="66" spans="2:5" ht="15" customHeight="1" x14ac:dyDescent="0.2">
      <c r="B66" s="75" t="s">
        <v>323</v>
      </c>
      <c r="C66" s="76" t="s">
        <v>394</v>
      </c>
      <c r="D66" s="77" t="s">
        <v>395</v>
      </c>
      <c r="E66" s="78">
        <v>1.29</v>
      </c>
    </row>
    <row r="67" spans="2:5" ht="15" customHeight="1" x14ac:dyDescent="0.2">
      <c r="B67" s="75" t="s">
        <v>325</v>
      </c>
      <c r="C67" s="76" t="s">
        <v>152</v>
      </c>
      <c r="D67" s="77" t="s">
        <v>138</v>
      </c>
      <c r="E67" s="78">
        <v>2.0499999999999998</v>
      </c>
    </row>
    <row r="68" spans="2:5" ht="15" customHeight="1" x14ac:dyDescent="0.2">
      <c r="B68" s="75" t="s">
        <v>326</v>
      </c>
      <c r="C68" s="76" t="s">
        <v>133</v>
      </c>
      <c r="D68" s="77" t="s">
        <v>132</v>
      </c>
      <c r="E68" s="78">
        <v>1.27</v>
      </c>
    </row>
    <row r="69" spans="2:5" ht="15" customHeight="1" x14ac:dyDescent="0.2">
      <c r="B69" s="75" t="s">
        <v>327</v>
      </c>
      <c r="C69" s="76" t="s">
        <v>377</v>
      </c>
      <c r="D69" s="77" t="s">
        <v>378</v>
      </c>
      <c r="E69" s="78">
        <v>1.47</v>
      </c>
    </row>
    <row r="70" spans="2:5" ht="15" customHeight="1" x14ac:dyDescent="0.2">
      <c r="B70" s="75" t="s">
        <v>327</v>
      </c>
      <c r="C70" s="76" t="s">
        <v>186</v>
      </c>
      <c r="D70" s="77" t="s">
        <v>182</v>
      </c>
      <c r="E70" s="78">
        <v>1.47</v>
      </c>
    </row>
    <row r="71" spans="2:5" ht="15" customHeight="1" x14ac:dyDescent="0.2">
      <c r="B71" s="75" t="s">
        <v>327</v>
      </c>
      <c r="C71" s="76" t="s">
        <v>156</v>
      </c>
      <c r="D71" s="77" t="s">
        <v>399</v>
      </c>
      <c r="E71" s="78">
        <v>1.19</v>
      </c>
    </row>
    <row r="72" spans="2:5" ht="15" customHeight="1" x14ac:dyDescent="0.2">
      <c r="B72" s="75" t="s">
        <v>329</v>
      </c>
      <c r="C72" s="76" t="s">
        <v>164</v>
      </c>
      <c r="D72" s="77" t="s">
        <v>150</v>
      </c>
      <c r="E72" s="78">
        <v>1.52</v>
      </c>
    </row>
    <row r="73" spans="2:5" ht="15" customHeight="1" x14ac:dyDescent="0.2">
      <c r="B73" s="75" t="s">
        <v>329</v>
      </c>
      <c r="C73" s="76" t="s">
        <v>379</v>
      </c>
      <c r="D73" s="77" t="s">
        <v>122</v>
      </c>
      <c r="E73" s="78">
        <v>1.27</v>
      </c>
    </row>
    <row r="74" spans="2:5" ht="15" customHeight="1" x14ac:dyDescent="0.2">
      <c r="B74" s="75" t="s">
        <v>330</v>
      </c>
      <c r="C74" s="76" t="s">
        <v>137</v>
      </c>
      <c r="D74" s="77" t="s">
        <v>130</v>
      </c>
      <c r="E74" s="78">
        <v>1.4</v>
      </c>
    </row>
    <row r="75" spans="2:5" ht="15" customHeight="1" x14ac:dyDescent="0.2">
      <c r="B75" s="75" t="s">
        <v>330</v>
      </c>
      <c r="C75" s="76" t="s">
        <v>381</v>
      </c>
      <c r="D75" s="77" t="s">
        <v>382</v>
      </c>
      <c r="E75" s="78">
        <v>1.27</v>
      </c>
    </row>
    <row r="76" spans="2:5" ht="15" customHeight="1" x14ac:dyDescent="0.2">
      <c r="B76" s="75" t="s">
        <v>332</v>
      </c>
      <c r="C76" s="76" t="s">
        <v>174</v>
      </c>
      <c r="D76" s="77" t="s">
        <v>173</v>
      </c>
      <c r="E76" s="78">
        <v>1.47</v>
      </c>
    </row>
    <row r="77" spans="2:5" ht="15" customHeight="1" x14ac:dyDescent="0.2">
      <c r="B77" s="75" t="s">
        <v>333</v>
      </c>
      <c r="C77" s="76" t="s">
        <v>385</v>
      </c>
      <c r="D77" s="77" t="s">
        <v>142</v>
      </c>
      <c r="E77" s="78">
        <v>1.2</v>
      </c>
    </row>
    <row r="79" spans="2:5" ht="23.25" customHeight="1" x14ac:dyDescent="0.2">
      <c r="B79" s="188" t="s">
        <v>400</v>
      </c>
      <c r="C79" s="143"/>
      <c r="D79" s="143"/>
      <c r="E79" s="143"/>
    </row>
    <row r="80" spans="2:5" ht="15" customHeight="1" x14ac:dyDescent="0.2">
      <c r="B80" s="74" t="s">
        <v>310</v>
      </c>
      <c r="C80" s="74" t="s">
        <v>104</v>
      </c>
      <c r="D80" s="74" t="s">
        <v>372</v>
      </c>
      <c r="E80" s="74" t="s">
        <v>105</v>
      </c>
    </row>
    <row r="81" spans="2:5" ht="15" customHeight="1" x14ac:dyDescent="0.2">
      <c r="B81" s="75" t="s">
        <v>318</v>
      </c>
      <c r="C81" s="76" t="s">
        <v>373</v>
      </c>
      <c r="D81" s="77" t="s">
        <v>374</v>
      </c>
      <c r="E81" s="78">
        <v>1.45</v>
      </c>
    </row>
    <row r="82" spans="2:5" ht="15" customHeight="1" x14ac:dyDescent="0.2">
      <c r="B82" s="75" t="s">
        <v>319</v>
      </c>
      <c r="C82" s="76" t="s">
        <v>375</v>
      </c>
      <c r="D82" s="77" t="s">
        <v>376</v>
      </c>
      <c r="E82" s="78">
        <v>1.8</v>
      </c>
    </row>
    <row r="83" spans="2:5" ht="15" customHeight="1" x14ac:dyDescent="0.2">
      <c r="B83" s="75" t="s">
        <v>321</v>
      </c>
      <c r="C83" s="76" t="s">
        <v>183</v>
      </c>
      <c r="D83" s="77" t="s">
        <v>182</v>
      </c>
      <c r="E83" s="78">
        <v>1.5</v>
      </c>
    </row>
    <row r="84" spans="2:5" ht="15" customHeight="1" x14ac:dyDescent="0.2">
      <c r="B84" s="75" t="s">
        <v>322</v>
      </c>
      <c r="C84" s="76" t="s">
        <v>176</v>
      </c>
      <c r="D84" s="77" t="s">
        <v>134</v>
      </c>
      <c r="E84" s="78">
        <v>1.47</v>
      </c>
    </row>
    <row r="85" spans="2:5" ht="15" customHeight="1" x14ac:dyDescent="0.2">
      <c r="B85" s="75" t="s">
        <v>324</v>
      </c>
      <c r="C85" s="76" t="s">
        <v>396</v>
      </c>
      <c r="D85" s="77" t="s">
        <v>397</v>
      </c>
      <c r="E85" s="78">
        <v>1.27</v>
      </c>
    </row>
    <row r="86" spans="2:5" ht="15" customHeight="1" x14ac:dyDescent="0.2">
      <c r="B86" s="75" t="s">
        <v>326</v>
      </c>
      <c r="C86" s="76" t="s">
        <v>133</v>
      </c>
      <c r="D86" s="77" t="s">
        <v>132</v>
      </c>
      <c r="E86" s="78">
        <v>1.27</v>
      </c>
    </row>
    <row r="87" spans="2:5" ht="15" customHeight="1" x14ac:dyDescent="0.2">
      <c r="B87" s="75" t="s">
        <v>327</v>
      </c>
      <c r="C87" s="76" t="s">
        <v>156</v>
      </c>
      <c r="D87" s="77" t="s">
        <v>399</v>
      </c>
      <c r="E87" s="78">
        <v>1.19</v>
      </c>
    </row>
    <row r="88" spans="2:5" ht="15" customHeight="1" x14ac:dyDescent="0.2">
      <c r="B88" s="75" t="s">
        <v>329</v>
      </c>
      <c r="C88" s="76" t="s">
        <v>390</v>
      </c>
      <c r="D88" s="77" t="s">
        <v>158</v>
      </c>
      <c r="E88" s="78">
        <v>1.5</v>
      </c>
    </row>
    <row r="89" spans="2:5" ht="15" customHeight="1" x14ac:dyDescent="0.2">
      <c r="B89" s="75" t="s">
        <v>329</v>
      </c>
      <c r="C89" s="76" t="s">
        <v>164</v>
      </c>
      <c r="D89" s="77" t="s">
        <v>150</v>
      </c>
      <c r="E89" s="78">
        <v>1.52</v>
      </c>
    </row>
    <row r="90" spans="2:5" ht="15" customHeight="1" x14ac:dyDescent="0.2">
      <c r="B90" s="75" t="s">
        <v>329</v>
      </c>
      <c r="C90" s="76" t="s">
        <v>379</v>
      </c>
      <c r="D90" s="77" t="s">
        <v>122</v>
      </c>
      <c r="E90" s="78">
        <v>1.27</v>
      </c>
    </row>
    <row r="91" spans="2:5" ht="15" customHeight="1" x14ac:dyDescent="0.2">
      <c r="B91" s="75" t="s">
        <v>329</v>
      </c>
      <c r="C91" s="76" t="s">
        <v>157</v>
      </c>
      <c r="D91" s="77" t="s">
        <v>142</v>
      </c>
      <c r="E91" s="78">
        <v>1.32</v>
      </c>
    </row>
    <row r="92" spans="2:5" ht="15" customHeight="1" x14ac:dyDescent="0.2">
      <c r="B92" s="75" t="s">
        <v>330</v>
      </c>
      <c r="C92" s="76" t="s">
        <v>137</v>
      </c>
      <c r="D92" s="77" t="s">
        <v>130</v>
      </c>
      <c r="E92" s="78">
        <v>1.4</v>
      </c>
    </row>
    <row r="93" spans="2:5" ht="15" customHeight="1" x14ac:dyDescent="0.2">
      <c r="B93" s="75" t="s">
        <v>330</v>
      </c>
      <c r="C93" s="76" t="s">
        <v>380</v>
      </c>
      <c r="D93" s="77" t="s">
        <v>138</v>
      </c>
      <c r="E93" s="78">
        <v>1.26</v>
      </c>
    </row>
    <row r="94" spans="2:5" ht="15" customHeight="1" x14ac:dyDescent="0.2">
      <c r="B94" s="75" t="s">
        <v>331</v>
      </c>
      <c r="C94" s="76" t="s">
        <v>168</v>
      </c>
      <c r="D94" s="77" t="s">
        <v>383</v>
      </c>
      <c r="E94" s="78">
        <v>1.34</v>
      </c>
    </row>
    <row r="95" spans="2:5" ht="15" customHeight="1" x14ac:dyDescent="0.2">
      <c r="B95" s="75" t="s">
        <v>332</v>
      </c>
      <c r="C95" s="76" t="s">
        <v>384</v>
      </c>
      <c r="D95" s="77" t="s">
        <v>378</v>
      </c>
      <c r="E95" s="78">
        <v>1.3</v>
      </c>
    </row>
    <row r="96" spans="2:5" ht="15" customHeight="1" x14ac:dyDescent="0.2">
      <c r="B96" s="75" t="s">
        <v>333</v>
      </c>
      <c r="C96" s="76" t="s">
        <v>385</v>
      </c>
      <c r="D96" s="77" t="s">
        <v>142</v>
      </c>
      <c r="E96" s="78">
        <v>1.2</v>
      </c>
    </row>
    <row r="97" spans="2:5" ht="15" customHeight="1" x14ac:dyDescent="0.2">
      <c r="B97" s="75" t="s">
        <v>333</v>
      </c>
      <c r="C97" s="76" t="s">
        <v>386</v>
      </c>
      <c r="D97" s="77" t="s">
        <v>118</v>
      </c>
      <c r="E97" s="78">
        <v>1.2</v>
      </c>
    </row>
    <row r="99" spans="2:5" ht="23.25" customHeight="1" x14ac:dyDescent="0.2">
      <c r="B99" s="188" t="s">
        <v>401</v>
      </c>
      <c r="C99" s="143"/>
      <c r="D99" s="143"/>
      <c r="E99" s="143"/>
    </row>
    <row r="100" spans="2:5" ht="15" customHeight="1" x14ac:dyDescent="0.2">
      <c r="B100" s="74" t="s">
        <v>310</v>
      </c>
      <c r="C100" s="74" t="s">
        <v>104</v>
      </c>
      <c r="D100" s="74" t="s">
        <v>372</v>
      </c>
      <c r="E100" s="74" t="s">
        <v>105</v>
      </c>
    </row>
    <row r="101" spans="2:5" ht="15" customHeight="1" x14ac:dyDescent="0.2">
      <c r="B101" s="75" t="s">
        <v>319</v>
      </c>
      <c r="C101" s="76" t="s">
        <v>375</v>
      </c>
      <c r="D101" s="77" t="s">
        <v>376</v>
      </c>
      <c r="E101" s="78">
        <v>1.8</v>
      </c>
    </row>
    <row r="102" spans="2:5" ht="15" customHeight="1" x14ac:dyDescent="0.2">
      <c r="B102" s="75" t="s">
        <v>322</v>
      </c>
      <c r="C102" s="76" t="s">
        <v>117</v>
      </c>
      <c r="D102" s="77" t="s">
        <v>116</v>
      </c>
      <c r="E102" s="78">
        <v>1.23</v>
      </c>
    </row>
    <row r="103" spans="2:5" ht="15" customHeight="1" x14ac:dyDescent="0.2">
      <c r="B103" s="75" t="s">
        <v>322</v>
      </c>
      <c r="C103" s="76" t="s">
        <v>176</v>
      </c>
      <c r="D103" s="77" t="s">
        <v>134</v>
      </c>
      <c r="E103" s="78">
        <v>1.47</v>
      </c>
    </row>
    <row r="104" spans="2:5" ht="15" customHeight="1" x14ac:dyDescent="0.2">
      <c r="B104" s="75" t="s">
        <v>322</v>
      </c>
      <c r="C104" s="76" t="s">
        <v>388</v>
      </c>
      <c r="D104" s="77" t="s">
        <v>120</v>
      </c>
      <c r="E104" s="78">
        <v>1.34</v>
      </c>
    </row>
    <row r="105" spans="2:5" ht="15" customHeight="1" x14ac:dyDescent="0.2">
      <c r="B105" s="75" t="s">
        <v>323</v>
      </c>
      <c r="C105" s="76" t="s">
        <v>123</v>
      </c>
      <c r="D105" s="77" t="s">
        <v>122</v>
      </c>
      <c r="E105" s="78">
        <v>1.28</v>
      </c>
    </row>
    <row r="106" spans="2:5" ht="15" customHeight="1" x14ac:dyDescent="0.2">
      <c r="B106" s="75" t="s">
        <v>323</v>
      </c>
      <c r="C106" s="76" t="s">
        <v>394</v>
      </c>
      <c r="D106" s="77" t="s">
        <v>395</v>
      </c>
      <c r="E106" s="78">
        <v>1.29</v>
      </c>
    </row>
    <row r="107" spans="2:5" ht="15" customHeight="1" x14ac:dyDescent="0.2">
      <c r="B107" s="75" t="s">
        <v>325</v>
      </c>
      <c r="C107" s="76" t="s">
        <v>152</v>
      </c>
      <c r="D107" s="77" t="s">
        <v>138</v>
      </c>
      <c r="E107" s="78">
        <v>2.0499999999999998</v>
      </c>
    </row>
    <row r="108" spans="2:5" ht="15" customHeight="1" x14ac:dyDescent="0.2">
      <c r="B108" s="75" t="s">
        <v>327</v>
      </c>
      <c r="C108" s="76" t="s">
        <v>377</v>
      </c>
      <c r="D108" s="77" t="s">
        <v>378</v>
      </c>
      <c r="E108" s="78">
        <v>1.47</v>
      </c>
    </row>
    <row r="109" spans="2:5" ht="15" customHeight="1" x14ac:dyDescent="0.2">
      <c r="B109" s="75" t="s">
        <v>329</v>
      </c>
      <c r="C109" s="76" t="s">
        <v>390</v>
      </c>
      <c r="D109" s="77" t="s">
        <v>158</v>
      </c>
      <c r="E109" s="78">
        <v>1.5</v>
      </c>
    </row>
    <row r="110" spans="2:5" ht="15" customHeight="1" x14ac:dyDescent="0.2">
      <c r="B110" s="75" t="s">
        <v>329</v>
      </c>
      <c r="C110" s="76" t="s">
        <v>164</v>
      </c>
      <c r="D110" s="77" t="s">
        <v>150</v>
      </c>
      <c r="E110" s="78">
        <v>1.52</v>
      </c>
    </row>
    <row r="111" spans="2:5" ht="15" customHeight="1" x14ac:dyDescent="0.2">
      <c r="B111" s="75" t="s">
        <v>329</v>
      </c>
      <c r="C111" s="76" t="s">
        <v>157</v>
      </c>
      <c r="D111" s="77" t="s">
        <v>142</v>
      </c>
      <c r="E111" s="78">
        <v>1.32</v>
      </c>
    </row>
    <row r="112" spans="2:5" ht="15" customHeight="1" x14ac:dyDescent="0.2">
      <c r="B112" s="75" t="s">
        <v>330</v>
      </c>
      <c r="C112" s="76" t="s">
        <v>137</v>
      </c>
      <c r="D112" s="77" t="s">
        <v>130</v>
      </c>
      <c r="E112" s="78">
        <v>1.4</v>
      </c>
    </row>
    <row r="113" spans="2:5" ht="15" customHeight="1" x14ac:dyDescent="0.2">
      <c r="B113" s="75" t="s">
        <v>330</v>
      </c>
      <c r="C113" s="76" t="s">
        <v>381</v>
      </c>
      <c r="D113" s="77" t="s">
        <v>382</v>
      </c>
      <c r="E113" s="78">
        <v>1.27</v>
      </c>
    </row>
    <row r="114" spans="2:5" ht="15" customHeight="1" x14ac:dyDescent="0.2">
      <c r="B114" s="75" t="s">
        <v>331</v>
      </c>
      <c r="C114" s="76" t="s">
        <v>168</v>
      </c>
      <c r="D114" s="77" t="s">
        <v>383</v>
      </c>
      <c r="E114" s="78">
        <v>1.34</v>
      </c>
    </row>
    <row r="115" spans="2:5" ht="15" customHeight="1" x14ac:dyDescent="0.2">
      <c r="B115" s="75" t="s">
        <v>333</v>
      </c>
      <c r="C115" s="76" t="s">
        <v>386</v>
      </c>
      <c r="D115" s="77" t="s">
        <v>118</v>
      </c>
      <c r="E115" s="78">
        <v>1.2</v>
      </c>
    </row>
    <row r="117" spans="2:5" ht="23.25" customHeight="1" x14ac:dyDescent="0.2">
      <c r="B117" s="188" t="s">
        <v>402</v>
      </c>
      <c r="C117" s="143"/>
      <c r="D117" s="143"/>
      <c r="E117" s="143"/>
    </row>
    <row r="118" spans="2:5" ht="15" customHeight="1" x14ac:dyDescent="0.2">
      <c r="B118" s="74" t="s">
        <v>310</v>
      </c>
      <c r="C118" s="74" t="s">
        <v>104</v>
      </c>
      <c r="D118" s="74" t="s">
        <v>372</v>
      </c>
      <c r="E118" s="74" t="s">
        <v>105</v>
      </c>
    </row>
    <row r="119" spans="2:5" ht="15" customHeight="1" x14ac:dyDescent="0.2">
      <c r="B119" s="75" t="s">
        <v>318</v>
      </c>
      <c r="C119" s="76" t="s">
        <v>373</v>
      </c>
      <c r="D119" s="77" t="s">
        <v>374</v>
      </c>
      <c r="E119" s="78">
        <v>1.45</v>
      </c>
    </row>
    <row r="120" spans="2:5" ht="15" customHeight="1" x14ac:dyDescent="0.2">
      <c r="B120" s="75" t="s">
        <v>319</v>
      </c>
      <c r="C120" s="76" t="s">
        <v>109</v>
      </c>
      <c r="D120" s="77" t="s">
        <v>108</v>
      </c>
      <c r="E120" s="78">
        <v>1.26</v>
      </c>
    </row>
    <row r="121" spans="2:5" ht="15" customHeight="1" x14ac:dyDescent="0.2">
      <c r="B121" s="75" t="s">
        <v>319</v>
      </c>
      <c r="C121" s="76" t="s">
        <v>375</v>
      </c>
      <c r="D121" s="77" t="s">
        <v>376</v>
      </c>
      <c r="E121" s="78">
        <v>1.8</v>
      </c>
    </row>
    <row r="122" spans="2:5" ht="15" customHeight="1" x14ac:dyDescent="0.2">
      <c r="B122" s="75" t="s">
        <v>321</v>
      </c>
      <c r="C122" s="76" t="s">
        <v>392</v>
      </c>
      <c r="D122" s="77" t="s">
        <v>393</v>
      </c>
      <c r="E122" s="78">
        <v>1.1000000000000001</v>
      </c>
    </row>
    <row r="123" spans="2:5" ht="15" customHeight="1" x14ac:dyDescent="0.2">
      <c r="B123" s="75" t="s">
        <v>322</v>
      </c>
      <c r="C123" s="76" t="s">
        <v>117</v>
      </c>
      <c r="D123" s="77" t="s">
        <v>116</v>
      </c>
      <c r="E123" s="78">
        <v>1.23</v>
      </c>
    </row>
    <row r="124" spans="2:5" ht="15" customHeight="1" x14ac:dyDescent="0.2">
      <c r="B124" s="75" t="s">
        <v>323</v>
      </c>
      <c r="C124" s="76" t="s">
        <v>394</v>
      </c>
      <c r="D124" s="77" t="s">
        <v>395</v>
      </c>
      <c r="E124" s="78">
        <v>1.29</v>
      </c>
    </row>
    <row r="125" spans="2:5" ht="15" customHeight="1" x14ac:dyDescent="0.2">
      <c r="B125" s="75" t="s">
        <v>323</v>
      </c>
      <c r="C125" s="76" t="s">
        <v>389</v>
      </c>
      <c r="D125" s="77" t="s">
        <v>150</v>
      </c>
      <c r="E125" s="78">
        <v>1.42</v>
      </c>
    </row>
    <row r="126" spans="2:5" ht="15" customHeight="1" x14ac:dyDescent="0.2">
      <c r="B126" s="75" t="s">
        <v>324</v>
      </c>
      <c r="C126" s="76" t="s">
        <v>396</v>
      </c>
      <c r="D126" s="77" t="s">
        <v>397</v>
      </c>
      <c r="E126" s="78">
        <v>1.27</v>
      </c>
    </row>
    <row r="127" spans="2:5" ht="15" customHeight="1" x14ac:dyDescent="0.2">
      <c r="B127" s="75" t="s">
        <v>325</v>
      </c>
      <c r="C127" s="76" t="s">
        <v>152</v>
      </c>
      <c r="D127" s="77" t="s">
        <v>138</v>
      </c>
      <c r="E127" s="78">
        <v>2.0499999999999998</v>
      </c>
    </row>
    <row r="128" spans="2:5" ht="15" customHeight="1" x14ac:dyDescent="0.2">
      <c r="B128" s="75" t="s">
        <v>326</v>
      </c>
      <c r="C128" s="76" t="s">
        <v>133</v>
      </c>
      <c r="D128" s="77" t="s">
        <v>132</v>
      </c>
      <c r="E128" s="78">
        <v>1.27</v>
      </c>
    </row>
    <row r="129" spans="2:5" ht="15" customHeight="1" x14ac:dyDescent="0.2">
      <c r="B129" s="75" t="s">
        <v>327</v>
      </c>
      <c r="C129" s="76" t="s">
        <v>403</v>
      </c>
      <c r="D129" s="77" t="s">
        <v>393</v>
      </c>
      <c r="E129" s="78">
        <v>1.1299999999999999</v>
      </c>
    </row>
    <row r="130" spans="2:5" ht="15" customHeight="1" x14ac:dyDescent="0.2">
      <c r="B130" s="75" t="s">
        <v>327</v>
      </c>
      <c r="C130" s="76" t="s">
        <v>186</v>
      </c>
      <c r="D130" s="77" t="s">
        <v>182</v>
      </c>
      <c r="E130" s="78">
        <v>1.47</v>
      </c>
    </row>
    <row r="131" spans="2:5" ht="15" customHeight="1" x14ac:dyDescent="0.2">
      <c r="B131" s="75" t="s">
        <v>329</v>
      </c>
      <c r="C131" s="76" t="s">
        <v>379</v>
      </c>
      <c r="D131" s="77" t="s">
        <v>122</v>
      </c>
      <c r="E131" s="78">
        <v>1.27</v>
      </c>
    </row>
    <row r="132" spans="2:5" ht="15" customHeight="1" x14ac:dyDescent="0.2">
      <c r="B132" s="75" t="s">
        <v>330</v>
      </c>
      <c r="C132" s="76" t="s">
        <v>381</v>
      </c>
      <c r="D132" s="77" t="s">
        <v>382</v>
      </c>
      <c r="E132" s="78">
        <v>1.27</v>
      </c>
    </row>
    <row r="133" spans="2:5" ht="15" customHeight="1" x14ac:dyDescent="0.2">
      <c r="B133" s="75" t="s">
        <v>331</v>
      </c>
      <c r="C133" s="76" t="s">
        <v>168</v>
      </c>
      <c r="D133" s="77" t="s">
        <v>383</v>
      </c>
      <c r="E133" s="78">
        <v>1.34</v>
      </c>
    </row>
    <row r="134" spans="2:5" ht="15" customHeight="1" x14ac:dyDescent="0.2">
      <c r="B134" s="75" t="s">
        <v>332</v>
      </c>
      <c r="C134" s="76" t="s">
        <v>174</v>
      </c>
      <c r="D134" s="77" t="s">
        <v>173</v>
      </c>
      <c r="E134" s="78">
        <v>1.47</v>
      </c>
    </row>
    <row r="135" spans="2:5" ht="15" customHeight="1" x14ac:dyDescent="0.2">
      <c r="B135" s="75" t="s">
        <v>332</v>
      </c>
      <c r="C135" s="76" t="s">
        <v>384</v>
      </c>
      <c r="D135" s="77" t="s">
        <v>378</v>
      </c>
      <c r="E135" s="78">
        <v>1.3</v>
      </c>
    </row>
    <row r="137" spans="2:5" ht="23.25" customHeight="1" x14ac:dyDescent="0.2">
      <c r="B137" s="188" t="s">
        <v>404</v>
      </c>
      <c r="C137" s="143"/>
      <c r="D137" s="143"/>
      <c r="E137" s="143"/>
    </row>
    <row r="138" spans="2:5" ht="15" customHeight="1" x14ac:dyDescent="0.2">
      <c r="B138" s="74" t="s">
        <v>310</v>
      </c>
      <c r="C138" s="74" t="s">
        <v>104</v>
      </c>
      <c r="D138" s="74" t="s">
        <v>372</v>
      </c>
      <c r="E138" s="74" t="s">
        <v>105</v>
      </c>
    </row>
    <row r="139" spans="2:5" ht="15" customHeight="1" x14ac:dyDescent="0.2">
      <c r="B139" s="75" t="s">
        <v>319</v>
      </c>
      <c r="C139" s="76" t="s">
        <v>375</v>
      </c>
      <c r="D139" s="77" t="s">
        <v>376</v>
      </c>
      <c r="E139" s="78">
        <v>1.8</v>
      </c>
    </row>
    <row r="140" spans="2:5" ht="15" customHeight="1" x14ac:dyDescent="0.2">
      <c r="B140" s="75" t="s">
        <v>321</v>
      </c>
      <c r="C140" s="76" t="s">
        <v>392</v>
      </c>
      <c r="D140" s="77" t="s">
        <v>393</v>
      </c>
      <c r="E140" s="78">
        <v>1.1000000000000001</v>
      </c>
    </row>
    <row r="141" spans="2:5" ht="15" customHeight="1" x14ac:dyDescent="0.2">
      <c r="B141" s="75" t="s">
        <v>321</v>
      </c>
      <c r="C141" s="76" t="s">
        <v>183</v>
      </c>
      <c r="D141" s="77" t="s">
        <v>182</v>
      </c>
      <c r="E141" s="78">
        <v>1.5</v>
      </c>
    </row>
    <row r="142" spans="2:5" ht="15" customHeight="1" x14ac:dyDescent="0.2">
      <c r="B142" s="75" t="s">
        <v>322</v>
      </c>
      <c r="C142" s="76" t="s">
        <v>117</v>
      </c>
      <c r="D142" s="77" t="s">
        <v>116</v>
      </c>
      <c r="E142" s="78">
        <v>1.23</v>
      </c>
    </row>
    <row r="143" spans="2:5" ht="15" customHeight="1" x14ac:dyDescent="0.2">
      <c r="B143" s="75" t="s">
        <v>322</v>
      </c>
      <c r="C143" s="76" t="s">
        <v>176</v>
      </c>
      <c r="D143" s="77" t="s">
        <v>134</v>
      </c>
      <c r="E143" s="78">
        <v>1.47</v>
      </c>
    </row>
    <row r="144" spans="2:5" ht="15" customHeight="1" x14ac:dyDescent="0.2">
      <c r="B144" s="75" t="s">
        <v>323</v>
      </c>
      <c r="C144" s="76" t="s">
        <v>394</v>
      </c>
      <c r="D144" s="77" t="s">
        <v>395</v>
      </c>
      <c r="E144" s="78">
        <v>1.29</v>
      </c>
    </row>
    <row r="145" spans="2:5" ht="15" customHeight="1" x14ac:dyDescent="0.2">
      <c r="B145" s="75" t="s">
        <v>324</v>
      </c>
      <c r="C145" s="76" t="s">
        <v>396</v>
      </c>
      <c r="D145" s="77" t="s">
        <v>397</v>
      </c>
      <c r="E145" s="78">
        <v>1.27</v>
      </c>
    </row>
    <row r="146" spans="2:5" ht="15" customHeight="1" x14ac:dyDescent="0.2">
      <c r="B146" s="75" t="s">
        <v>325</v>
      </c>
      <c r="C146" s="76" t="s">
        <v>152</v>
      </c>
      <c r="D146" s="77" t="s">
        <v>138</v>
      </c>
      <c r="E146" s="78">
        <v>2.0499999999999998</v>
      </c>
    </row>
    <row r="147" spans="2:5" ht="15" customHeight="1" x14ac:dyDescent="0.2">
      <c r="B147" s="75" t="s">
        <v>326</v>
      </c>
      <c r="C147" s="76" t="s">
        <v>133</v>
      </c>
      <c r="D147" s="77" t="s">
        <v>132</v>
      </c>
      <c r="E147" s="78">
        <v>1.27</v>
      </c>
    </row>
    <row r="148" spans="2:5" ht="15" customHeight="1" x14ac:dyDescent="0.2">
      <c r="B148" s="75" t="s">
        <v>327</v>
      </c>
      <c r="C148" s="76" t="s">
        <v>156</v>
      </c>
      <c r="D148" s="77" t="s">
        <v>399</v>
      </c>
      <c r="E148" s="78">
        <v>1.19</v>
      </c>
    </row>
    <row r="149" spans="2:5" ht="15" customHeight="1" x14ac:dyDescent="0.2">
      <c r="B149" s="75" t="s">
        <v>329</v>
      </c>
      <c r="C149" s="76" t="s">
        <v>379</v>
      </c>
      <c r="D149" s="77" t="s">
        <v>122</v>
      </c>
      <c r="E149" s="78">
        <v>1.27</v>
      </c>
    </row>
    <row r="150" spans="2:5" ht="15" customHeight="1" x14ac:dyDescent="0.2">
      <c r="B150" s="75" t="s">
        <v>329</v>
      </c>
      <c r="C150" s="76" t="s">
        <v>157</v>
      </c>
      <c r="D150" s="77" t="s">
        <v>142</v>
      </c>
      <c r="E150" s="78">
        <v>1.32</v>
      </c>
    </row>
    <row r="151" spans="2:5" ht="15" customHeight="1" x14ac:dyDescent="0.2">
      <c r="B151" s="75" t="s">
        <v>330</v>
      </c>
      <c r="C151" s="76" t="s">
        <v>137</v>
      </c>
      <c r="D151" s="77" t="s">
        <v>130</v>
      </c>
      <c r="E151" s="78">
        <v>1.4</v>
      </c>
    </row>
    <row r="152" spans="2:5" ht="15" customHeight="1" x14ac:dyDescent="0.2">
      <c r="B152" s="75" t="s">
        <v>331</v>
      </c>
      <c r="C152" s="76" t="s">
        <v>168</v>
      </c>
      <c r="D152" s="77" t="s">
        <v>383</v>
      </c>
      <c r="E152" s="78">
        <v>1.34</v>
      </c>
    </row>
    <row r="153" spans="2:5" ht="15" customHeight="1" x14ac:dyDescent="0.2">
      <c r="B153" s="75" t="s">
        <v>332</v>
      </c>
      <c r="C153" s="76" t="s">
        <v>174</v>
      </c>
      <c r="D153" s="77" t="s">
        <v>173</v>
      </c>
      <c r="E153" s="78">
        <v>1.47</v>
      </c>
    </row>
    <row r="154" spans="2:5" ht="15" customHeight="1" x14ac:dyDescent="0.2">
      <c r="B154" s="75" t="s">
        <v>333</v>
      </c>
      <c r="C154" s="76" t="s">
        <v>385</v>
      </c>
      <c r="D154" s="77" t="s">
        <v>142</v>
      </c>
      <c r="E154" s="78">
        <v>1.2</v>
      </c>
    </row>
    <row r="155" spans="2:5" ht="15" customHeight="1" x14ac:dyDescent="0.2">
      <c r="B155" s="75" t="s">
        <v>333</v>
      </c>
      <c r="C155" s="76" t="s">
        <v>386</v>
      </c>
      <c r="D155" s="77" t="s">
        <v>118</v>
      </c>
      <c r="E155" s="78">
        <v>1.2</v>
      </c>
    </row>
    <row r="157" spans="2:5" ht="23.25" customHeight="1" x14ac:dyDescent="0.2">
      <c r="B157" s="188" t="s">
        <v>405</v>
      </c>
      <c r="C157" s="143"/>
      <c r="D157" s="143"/>
      <c r="E157" s="143"/>
    </row>
    <row r="158" spans="2:5" ht="15" customHeight="1" x14ac:dyDescent="0.2">
      <c r="B158" s="74" t="s">
        <v>310</v>
      </c>
      <c r="C158" s="74" t="s">
        <v>104</v>
      </c>
      <c r="D158" s="74" t="s">
        <v>372</v>
      </c>
      <c r="E158" s="74" t="s">
        <v>105</v>
      </c>
    </row>
    <row r="159" spans="2:5" ht="15" customHeight="1" x14ac:dyDescent="0.2">
      <c r="B159" s="75" t="s">
        <v>318</v>
      </c>
      <c r="C159" s="76" t="s">
        <v>373</v>
      </c>
      <c r="D159" s="77" t="s">
        <v>374</v>
      </c>
      <c r="E159" s="78">
        <v>1.45</v>
      </c>
    </row>
    <row r="160" spans="2:5" ht="15" customHeight="1" x14ac:dyDescent="0.2">
      <c r="B160" s="75" t="s">
        <v>319</v>
      </c>
      <c r="C160" s="76" t="s">
        <v>375</v>
      </c>
      <c r="D160" s="77" t="s">
        <v>376</v>
      </c>
      <c r="E160" s="78">
        <v>1.8</v>
      </c>
    </row>
    <row r="161" spans="2:5" ht="15" customHeight="1" x14ac:dyDescent="0.2">
      <c r="B161" s="75" t="s">
        <v>322</v>
      </c>
      <c r="C161" s="76" t="s">
        <v>176</v>
      </c>
      <c r="D161" s="77" t="s">
        <v>134</v>
      </c>
      <c r="E161" s="78">
        <v>1.47</v>
      </c>
    </row>
    <row r="162" spans="2:5" ht="15" customHeight="1" x14ac:dyDescent="0.2">
      <c r="B162" s="75" t="s">
        <v>322</v>
      </c>
      <c r="C162" s="76" t="s">
        <v>388</v>
      </c>
      <c r="D162" s="77" t="s">
        <v>120</v>
      </c>
      <c r="E162" s="78">
        <v>1.34</v>
      </c>
    </row>
    <row r="163" spans="2:5" ht="15" customHeight="1" x14ac:dyDescent="0.2">
      <c r="B163" s="75" t="s">
        <v>323</v>
      </c>
      <c r="C163" s="76" t="s">
        <v>123</v>
      </c>
      <c r="D163" s="77" t="s">
        <v>122</v>
      </c>
      <c r="E163" s="78">
        <v>1.28</v>
      </c>
    </row>
    <row r="164" spans="2:5" ht="15" customHeight="1" x14ac:dyDescent="0.2">
      <c r="B164" s="75" t="s">
        <v>323</v>
      </c>
      <c r="C164" s="76" t="s">
        <v>389</v>
      </c>
      <c r="D164" s="77" t="s">
        <v>150</v>
      </c>
      <c r="E164" s="78">
        <v>1.42</v>
      </c>
    </row>
    <row r="165" spans="2:5" ht="15" customHeight="1" x14ac:dyDescent="0.2">
      <c r="B165" s="75" t="s">
        <v>326</v>
      </c>
      <c r="C165" s="76" t="s">
        <v>133</v>
      </c>
      <c r="D165" s="77" t="s">
        <v>132</v>
      </c>
      <c r="E165" s="78">
        <v>1.27</v>
      </c>
    </row>
    <row r="166" spans="2:5" ht="15" customHeight="1" x14ac:dyDescent="0.2">
      <c r="B166" s="75" t="s">
        <v>327</v>
      </c>
      <c r="C166" s="76" t="s">
        <v>377</v>
      </c>
      <c r="D166" s="77" t="s">
        <v>378</v>
      </c>
      <c r="E166" s="78">
        <v>1.47</v>
      </c>
    </row>
    <row r="167" spans="2:5" ht="15" customHeight="1" x14ac:dyDescent="0.2">
      <c r="B167" s="75" t="s">
        <v>327</v>
      </c>
      <c r="C167" s="76" t="s">
        <v>186</v>
      </c>
      <c r="D167" s="77" t="s">
        <v>182</v>
      </c>
      <c r="E167" s="78">
        <v>1.47</v>
      </c>
    </row>
    <row r="168" spans="2:5" ht="15" customHeight="1" x14ac:dyDescent="0.2">
      <c r="B168" s="75" t="s">
        <v>328</v>
      </c>
      <c r="C168" s="76" t="s">
        <v>135</v>
      </c>
      <c r="D168" s="77" t="s">
        <v>134</v>
      </c>
      <c r="E168" s="78">
        <v>1.1200000000000001</v>
      </c>
    </row>
    <row r="169" spans="2:5" ht="15" customHeight="1" x14ac:dyDescent="0.2">
      <c r="B169" s="75" t="s">
        <v>329</v>
      </c>
      <c r="C169" s="76" t="s">
        <v>164</v>
      </c>
      <c r="D169" s="77" t="s">
        <v>150</v>
      </c>
      <c r="E169" s="78">
        <v>1.52</v>
      </c>
    </row>
    <row r="170" spans="2:5" ht="15" customHeight="1" x14ac:dyDescent="0.2">
      <c r="B170" s="75" t="s">
        <v>329</v>
      </c>
      <c r="C170" s="76" t="s">
        <v>157</v>
      </c>
      <c r="D170" s="77" t="s">
        <v>142</v>
      </c>
      <c r="E170" s="78">
        <v>1.32</v>
      </c>
    </row>
    <row r="171" spans="2:5" ht="15" customHeight="1" x14ac:dyDescent="0.2">
      <c r="B171" s="75" t="s">
        <v>330</v>
      </c>
      <c r="C171" s="76" t="s">
        <v>137</v>
      </c>
      <c r="D171" s="77" t="s">
        <v>130</v>
      </c>
      <c r="E171" s="78">
        <v>1.4</v>
      </c>
    </row>
    <row r="172" spans="2:5" ht="15" customHeight="1" x14ac:dyDescent="0.2">
      <c r="B172" s="75" t="s">
        <v>330</v>
      </c>
      <c r="C172" s="76" t="s">
        <v>381</v>
      </c>
      <c r="D172" s="77" t="s">
        <v>382</v>
      </c>
      <c r="E172" s="78">
        <v>1.27</v>
      </c>
    </row>
    <row r="173" spans="2:5" ht="15" customHeight="1" x14ac:dyDescent="0.2">
      <c r="B173" s="75" t="s">
        <v>332</v>
      </c>
      <c r="C173" s="76" t="s">
        <v>174</v>
      </c>
      <c r="D173" s="77" t="s">
        <v>173</v>
      </c>
      <c r="E173" s="78">
        <v>1.47</v>
      </c>
    </row>
    <row r="174" spans="2:5" ht="15" customHeight="1" x14ac:dyDescent="0.2">
      <c r="B174" s="75" t="s">
        <v>333</v>
      </c>
      <c r="C174" s="76" t="s">
        <v>386</v>
      </c>
      <c r="D174" s="77" t="s">
        <v>118</v>
      </c>
      <c r="E174" s="78">
        <v>1.2</v>
      </c>
    </row>
    <row r="176" spans="2:5" ht="23.25" customHeight="1" x14ac:dyDescent="0.2">
      <c r="B176" s="188" t="s">
        <v>406</v>
      </c>
      <c r="C176" s="143"/>
      <c r="D176" s="143"/>
      <c r="E176" s="143"/>
    </row>
    <row r="177" spans="2:5" ht="15" customHeight="1" x14ac:dyDescent="0.2">
      <c r="B177" s="74" t="s">
        <v>310</v>
      </c>
      <c r="C177" s="74" t="s">
        <v>104</v>
      </c>
      <c r="D177" s="74" t="s">
        <v>372</v>
      </c>
      <c r="E177" s="74" t="s">
        <v>105</v>
      </c>
    </row>
    <row r="178" spans="2:5" ht="15" customHeight="1" x14ac:dyDescent="0.2">
      <c r="B178" s="75" t="s">
        <v>318</v>
      </c>
      <c r="C178" s="76" t="s">
        <v>373</v>
      </c>
      <c r="D178" s="77" t="s">
        <v>374</v>
      </c>
      <c r="E178" s="78">
        <v>1.45</v>
      </c>
    </row>
    <row r="179" spans="2:5" ht="15" customHeight="1" x14ac:dyDescent="0.2">
      <c r="B179" s="75" t="s">
        <v>321</v>
      </c>
      <c r="C179" s="76" t="s">
        <v>183</v>
      </c>
      <c r="D179" s="77" t="s">
        <v>182</v>
      </c>
      <c r="E179" s="78">
        <v>1.5</v>
      </c>
    </row>
    <row r="180" spans="2:5" ht="15" customHeight="1" x14ac:dyDescent="0.2">
      <c r="B180" s="75" t="s">
        <v>322</v>
      </c>
      <c r="C180" s="76" t="s">
        <v>176</v>
      </c>
      <c r="D180" s="77" t="s">
        <v>134</v>
      </c>
      <c r="E180" s="78">
        <v>1.47</v>
      </c>
    </row>
    <row r="181" spans="2:5" ht="15" customHeight="1" x14ac:dyDescent="0.2">
      <c r="B181" s="75" t="s">
        <v>322</v>
      </c>
      <c r="C181" s="76" t="s">
        <v>117</v>
      </c>
      <c r="D181" s="77" t="s">
        <v>116</v>
      </c>
      <c r="E181" s="78">
        <v>1.23</v>
      </c>
    </row>
    <row r="182" spans="2:5" ht="15" customHeight="1" x14ac:dyDescent="0.2">
      <c r="B182" s="75" t="s">
        <v>322</v>
      </c>
      <c r="C182" s="76" t="s">
        <v>388</v>
      </c>
      <c r="D182" s="77" t="s">
        <v>120</v>
      </c>
      <c r="E182" s="78">
        <v>1.34</v>
      </c>
    </row>
    <row r="183" spans="2:5" ht="15" customHeight="1" x14ac:dyDescent="0.2">
      <c r="B183" s="75" t="s">
        <v>323</v>
      </c>
      <c r="C183" s="76" t="s">
        <v>394</v>
      </c>
      <c r="D183" s="77" t="s">
        <v>395</v>
      </c>
      <c r="E183" s="78">
        <v>1.29</v>
      </c>
    </row>
    <row r="184" spans="2:5" ht="15" customHeight="1" x14ac:dyDescent="0.2">
      <c r="B184" s="75" t="s">
        <v>326</v>
      </c>
      <c r="C184" s="76" t="s">
        <v>133</v>
      </c>
      <c r="D184" s="77" t="s">
        <v>132</v>
      </c>
      <c r="E184" s="78">
        <v>1.27</v>
      </c>
    </row>
    <row r="185" spans="2:5" ht="15" customHeight="1" x14ac:dyDescent="0.2">
      <c r="B185" s="75" t="s">
        <v>327</v>
      </c>
      <c r="C185" s="76" t="s">
        <v>377</v>
      </c>
      <c r="D185" s="77" t="s">
        <v>378</v>
      </c>
      <c r="E185" s="78">
        <v>1.47</v>
      </c>
    </row>
    <row r="186" spans="2:5" ht="15" customHeight="1" x14ac:dyDescent="0.2">
      <c r="B186" s="75" t="s">
        <v>327</v>
      </c>
      <c r="C186" s="76" t="s">
        <v>186</v>
      </c>
      <c r="D186" s="77" t="s">
        <v>182</v>
      </c>
      <c r="E186" s="78">
        <v>1.47</v>
      </c>
    </row>
    <row r="187" spans="2:5" ht="15" customHeight="1" x14ac:dyDescent="0.2">
      <c r="B187" s="75" t="s">
        <v>328</v>
      </c>
      <c r="C187" s="76" t="s">
        <v>135</v>
      </c>
      <c r="D187" s="77" t="s">
        <v>134</v>
      </c>
      <c r="E187" s="78">
        <v>1.1200000000000001</v>
      </c>
    </row>
    <row r="188" spans="2:5" ht="15" customHeight="1" x14ac:dyDescent="0.2">
      <c r="B188" s="75" t="s">
        <v>329</v>
      </c>
      <c r="C188" s="76" t="s">
        <v>390</v>
      </c>
      <c r="D188" s="77" t="s">
        <v>158</v>
      </c>
      <c r="E188" s="78">
        <v>1.5</v>
      </c>
    </row>
    <row r="189" spans="2:5" ht="15" customHeight="1" x14ac:dyDescent="0.2">
      <c r="B189" s="75" t="s">
        <v>329</v>
      </c>
      <c r="C189" s="76" t="s">
        <v>164</v>
      </c>
      <c r="D189" s="77" t="s">
        <v>150</v>
      </c>
      <c r="E189" s="78">
        <v>1.52</v>
      </c>
    </row>
    <row r="190" spans="2:5" ht="15" customHeight="1" x14ac:dyDescent="0.2">
      <c r="B190" s="75" t="s">
        <v>329</v>
      </c>
      <c r="C190" s="76" t="s">
        <v>379</v>
      </c>
      <c r="D190" s="77" t="s">
        <v>122</v>
      </c>
      <c r="E190" s="78">
        <v>1.27</v>
      </c>
    </row>
    <row r="191" spans="2:5" ht="15" customHeight="1" x14ac:dyDescent="0.2">
      <c r="B191" s="75" t="s">
        <v>330</v>
      </c>
      <c r="C191" s="76" t="s">
        <v>137</v>
      </c>
      <c r="D191" s="77" t="s">
        <v>130</v>
      </c>
      <c r="E191" s="78">
        <v>1.4</v>
      </c>
    </row>
    <row r="192" spans="2:5" ht="15" customHeight="1" x14ac:dyDescent="0.2">
      <c r="B192" s="75" t="s">
        <v>330</v>
      </c>
      <c r="C192" s="76" t="s">
        <v>380</v>
      </c>
      <c r="D192" s="77" t="s">
        <v>138</v>
      </c>
      <c r="E192" s="78">
        <v>1.26</v>
      </c>
    </row>
    <row r="193" spans="2:5" ht="15" customHeight="1" x14ac:dyDescent="0.2">
      <c r="B193" s="75" t="s">
        <v>330</v>
      </c>
      <c r="C193" s="76" t="s">
        <v>381</v>
      </c>
      <c r="D193" s="77" t="s">
        <v>382</v>
      </c>
      <c r="E193" s="78">
        <v>1.27</v>
      </c>
    </row>
    <row r="194" spans="2:5" ht="15" customHeight="1" x14ac:dyDescent="0.2">
      <c r="B194" s="75" t="s">
        <v>332</v>
      </c>
      <c r="C194" s="76" t="s">
        <v>384</v>
      </c>
      <c r="D194" s="77" t="s">
        <v>378</v>
      </c>
      <c r="E194" s="78">
        <v>1.3</v>
      </c>
    </row>
    <row r="196" spans="2:5" ht="23.25" customHeight="1" x14ac:dyDescent="0.2">
      <c r="B196" s="188" t="s">
        <v>407</v>
      </c>
      <c r="C196" s="143"/>
      <c r="D196" s="143"/>
      <c r="E196" s="143"/>
    </row>
    <row r="197" spans="2:5" ht="15" customHeight="1" x14ac:dyDescent="0.2">
      <c r="B197" s="74" t="s">
        <v>310</v>
      </c>
      <c r="C197" s="74" t="s">
        <v>104</v>
      </c>
      <c r="D197" s="74" t="s">
        <v>372</v>
      </c>
      <c r="E197" s="74" t="s">
        <v>105</v>
      </c>
    </row>
    <row r="198" spans="2:5" ht="15" customHeight="1" x14ac:dyDescent="0.2">
      <c r="B198" s="75" t="s">
        <v>318</v>
      </c>
      <c r="C198" s="76" t="s">
        <v>373</v>
      </c>
      <c r="D198" s="77" t="s">
        <v>374</v>
      </c>
      <c r="E198" s="78">
        <v>1.45</v>
      </c>
    </row>
    <row r="199" spans="2:5" ht="15" customHeight="1" x14ac:dyDescent="0.2">
      <c r="B199" s="75" t="s">
        <v>319</v>
      </c>
      <c r="C199" s="76" t="s">
        <v>109</v>
      </c>
      <c r="D199" s="77" t="s">
        <v>108</v>
      </c>
      <c r="E199" s="78">
        <v>1.26</v>
      </c>
    </row>
    <row r="200" spans="2:5" ht="15" customHeight="1" x14ac:dyDescent="0.2">
      <c r="B200" s="75" t="s">
        <v>322</v>
      </c>
      <c r="C200" s="76" t="s">
        <v>176</v>
      </c>
      <c r="D200" s="77" t="s">
        <v>134</v>
      </c>
      <c r="E200" s="78">
        <v>1.47</v>
      </c>
    </row>
    <row r="201" spans="2:5" ht="15" customHeight="1" x14ac:dyDescent="0.2">
      <c r="B201" s="75" t="s">
        <v>323</v>
      </c>
      <c r="C201" s="76" t="s">
        <v>394</v>
      </c>
      <c r="D201" s="77" t="s">
        <v>395</v>
      </c>
      <c r="E201" s="78">
        <v>1.29</v>
      </c>
    </row>
    <row r="202" spans="2:5" ht="15" customHeight="1" x14ac:dyDescent="0.2">
      <c r="B202" s="75" t="s">
        <v>323</v>
      </c>
      <c r="C202" s="76" t="s">
        <v>389</v>
      </c>
      <c r="D202" s="77" t="s">
        <v>150</v>
      </c>
      <c r="E202" s="78">
        <v>1.42</v>
      </c>
    </row>
    <row r="203" spans="2:5" ht="15" customHeight="1" x14ac:dyDescent="0.2">
      <c r="B203" s="75" t="s">
        <v>325</v>
      </c>
      <c r="C203" s="76" t="s">
        <v>152</v>
      </c>
      <c r="D203" s="77" t="s">
        <v>138</v>
      </c>
      <c r="E203" s="78">
        <v>2.0499999999999998</v>
      </c>
    </row>
    <row r="204" spans="2:5" ht="15" customHeight="1" x14ac:dyDescent="0.2">
      <c r="B204" s="75" t="s">
        <v>326</v>
      </c>
      <c r="C204" s="76" t="s">
        <v>133</v>
      </c>
      <c r="D204" s="77" t="s">
        <v>132</v>
      </c>
      <c r="E204" s="78">
        <v>1.27</v>
      </c>
    </row>
    <row r="205" spans="2:5" ht="15" customHeight="1" x14ac:dyDescent="0.2">
      <c r="B205" s="75" t="s">
        <v>329</v>
      </c>
      <c r="C205" s="76" t="s">
        <v>390</v>
      </c>
      <c r="D205" s="77" t="s">
        <v>158</v>
      </c>
      <c r="E205" s="78">
        <v>1.5</v>
      </c>
    </row>
    <row r="206" spans="2:5" ht="15" customHeight="1" x14ac:dyDescent="0.2">
      <c r="B206" s="75" t="s">
        <v>329</v>
      </c>
      <c r="C206" s="76" t="s">
        <v>164</v>
      </c>
      <c r="D206" s="77" t="s">
        <v>150</v>
      </c>
      <c r="E206" s="78">
        <v>1.52</v>
      </c>
    </row>
    <row r="207" spans="2:5" ht="15" customHeight="1" x14ac:dyDescent="0.2">
      <c r="B207" s="75" t="s">
        <v>329</v>
      </c>
      <c r="C207" s="76" t="s">
        <v>157</v>
      </c>
      <c r="D207" s="77" t="s">
        <v>142</v>
      </c>
      <c r="E207" s="78">
        <v>1.32</v>
      </c>
    </row>
    <row r="208" spans="2:5" ht="15" customHeight="1" x14ac:dyDescent="0.2">
      <c r="B208" s="75" t="s">
        <v>330</v>
      </c>
      <c r="C208" s="76" t="s">
        <v>137</v>
      </c>
      <c r="D208" s="77" t="s">
        <v>130</v>
      </c>
      <c r="E208" s="78">
        <v>1.4</v>
      </c>
    </row>
    <row r="209" spans="2:5" ht="15" customHeight="1" x14ac:dyDescent="0.2">
      <c r="B209" s="75" t="s">
        <v>330</v>
      </c>
      <c r="C209" s="76" t="s">
        <v>380</v>
      </c>
      <c r="D209" s="77" t="s">
        <v>138</v>
      </c>
      <c r="E209" s="78">
        <v>1.26</v>
      </c>
    </row>
    <row r="210" spans="2:5" ht="15" customHeight="1" x14ac:dyDescent="0.2">
      <c r="B210" s="75" t="s">
        <v>331</v>
      </c>
      <c r="C210" s="76" t="s">
        <v>168</v>
      </c>
      <c r="D210" s="77" t="s">
        <v>383</v>
      </c>
      <c r="E210" s="78">
        <v>1.34</v>
      </c>
    </row>
    <row r="211" spans="2:5" ht="15" customHeight="1" x14ac:dyDescent="0.2">
      <c r="B211" s="75" t="s">
        <v>332</v>
      </c>
      <c r="C211" s="76" t="s">
        <v>174</v>
      </c>
      <c r="D211" s="77" t="s">
        <v>173</v>
      </c>
      <c r="E211" s="78">
        <v>1.47</v>
      </c>
    </row>
    <row r="212" spans="2:5" ht="15" customHeight="1" x14ac:dyDescent="0.2">
      <c r="B212" s="75" t="s">
        <v>332</v>
      </c>
      <c r="C212" s="76" t="s">
        <v>384</v>
      </c>
      <c r="D212" s="77" t="s">
        <v>378</v>
      </c>
      <c r="E212" s="78">
        <v>1.3</v>
      </c>
    </row>
    <row r="214" spans="2:5" ht="23.25" customHeight="1" x14ac:dyDescent="0.2">
      <c r="B214" s="188" t="s">
        <v>408</v>
      </c>
      <c r="C214" s="143"/>
      <c r="D214" s="143"/>
      <c r="E214" s="143"/>
    </row>
    <row r="215" spans="2:5" ht="15" customHeight="1" x14ac:dyDescent="0.2">
      <c r="B215" s="74" t="s">
        <v>310</v>
      </c>
      <c r="C215" s="74" t="s">
        <v>104</v>
      </c>
      <c r="D215" s="74" t="s">
        <v>372</v>
      </c>
      <c r="E215" s="74" t="s">
        <v>105</v>
      </c>
    </row>
    <row r="216" spans="2:5" ht="15" customHeight="1" x14ac:dyDescent="0.2">
      <c r="B216" s="75" t="s">
        <v>318</v>
      </c>
      <c r="C216" s="76" t="s">
        <v>373</v>
      </c>
      <c r="D216" s="77" t="s">
        <v>374</v>
      </c>
      <c r="E216" s="78">
        <v>1.45</v>
      </c>
    </row>
    <row r="217" spans="2:5" ht="15" customHeight="1" x14ac:dyDescent="0.2">
      <c r="B217" s="75" t="s">
        <v>319</v>
      </c>
      <c r="C217" s="76" t="s">
        <v>375</v>
      </c>
      <c r="D217" s="77" t="s">
        <v>376</v>
      </c>
      <c r="E217" s="78">
        <v>1.8</v>
      </c>
    </row>
    <row r="218" spans="2:5" ht="15" customHeight="1" x14ac:dyDescent="0.2">
      <c r="B218" s="75" t="s">
        <v>320</v>
      </c>
      <c r="C218" s="76" t="s">
        <v>113</v>
      </c>
      <c r="D218" s="77" t="s">
        <v>112</v>
      </c>
      <c r="E218" s="78">
        <v>1.05</v>
      </c>
    </row>
    <row r="219" spans="2:5" ht="15" customHeight="1" x14ac:dyDescent="0.2">
      <c r="B219" s="75" t="s">
        <v>321</v>
      </c>
      <c r="C219" s="76" t="s">
        <v>183</v>
      </c>
      <c r="D219" s="77" t="s">
        <v>182</v>
      </c>
      <c r="E219" s="78">
        <v>1.5</v>
      </c>
    </row>
    <row r="220" spans="2:5" ht="15" customHeight="1" x14ac:dyDescent="0.2">
      <c r="B220" s="75" t="s">
        <v>322</v>
      </c>
      <c r="C220" s="76" t="s">
        <v>117</v>
      </c>
      <c r="D220" s="77" t="s">
        <v>116</v>
      </c>
      <c r="E220" s="78">
        <v>1.23</v>
      </c>
    </row>
    <row r="221" spans="2:5" ht="15" customHeight="1" x14ac:dyDescent="0.2">
      <c r="B221" s="75" t="s">
        <v>322</v>
      </c>
      <c r="C221" s="76" t="s">
        <v>388</v>
      </c>
      <c r="D221" s="77" t="s">
        <v>120</v>
      </c>
      <c r="E221" s="78">
        <v>1.34</v>
      </c>
    </row>
    <row r="222" spans="2:5" ht="15" customHeight="1" x14ac:dyDescent="0.2">
      <c r="B222" s="75" t="s">
        <v>323</v>
      </c>
      <c r="C222" s="76" t="s">
        <v>394</v>
      </c>
      <c r="D222" s="77" t="s">
        <v>395</v>
      </c>
      <c r="E222" s="78">
        <v>1.29</v>
      </c>
    </row>
    <row r="223" spans="2:5" ht="15" customHeight="1" x14ac:dyDescent="0.2">
      <c r="B223" s="75" t="s">
        <v>323</v>
      </c>
      <c r="C223" s="76" t="s">
        <v>389</v>
      </c>
      <c r="D223" s="77" t="s">
        <v>150</v>
      </c>
      <c r="E223" s="78">
        <v>1.42</v>
      </c>
    </row>
    <row r="224" spans="2:5" ht="15" customHeight="1" x14ac:dyDescent="0.2">
      <c r="B224" s="75" t="s">
        <v>324</v>
      </c>
      <c r="C224" s="76" t="s">
        <v>396</v>
      </c>
      <c r="D224" s="77" t="s">
        <v>397</v>
      </c>
      <c r="E224" s="78">
        <v>1.27</v>
      </c>
    </row>
    <row r="225" spans="2:5" ht="15" customHeight="1" x14ac:dyDescent="0.2">
      <c r="B225" s="75" t="s">
        <v>325</v>
      </c>
      <c r="C225" s="76" t="s">
        <v>152</v>
      </c>
      <c r="D225" s="77" t="s">
        <v>138</v>
      </c>
      <c r="E225" s="78">
        <v>2.0499999999999998</v>
      </c>
    </row>
    <row r="226" spans="2:5" ht="15" customHeight="1" x14ac:dyDescent="0.2">
      <c r="B226" s="75" t="s">
        <v>327</v>
      </c>
      <c r="C226" s="76" t="s">
        <v>186</v>
      </c>
      <c r="D226" s="77" t="s">
        <v>182</v>
      </c>
      <c r="E226" s="78">
        <v>1.47</v>
      </c>
    </row>
    <row r="227" spans="2:5" ht="15" customHeight="1" x14ac:dyDescent="0.2">
      <c r="B227" s="75" t="s">
        <v>329</v>
      </c>
      <c r="C227" s="76" t="s">
        <v>390</v>
      </c>
      <c r="D227" s="77" t="s">
        <v>158</v>
      </c>
      <c r="E227" s="78">
        <v>1.5</v>
      </c>
    </row>
    <row r="228" spans="2:5" ht="15" customHeight="1" x14ac:dyDescent="0.2">
      <c r="B228" s="75" t="s">
        <v>329</v>
      </c>
      <c r="C228" s="76" t="s">
        <v>164</v>
      </c>
      <c r="D228" s="77" t="s">
        <v>150</v>
      </c>
      <c r="E228" s="78">
        <v>1.52</v>
      </c>
    </row>
    <row r="229" spans="2:5" ht="15" customHeight="1" x14ac:dyDescent="0.2">
      <c r="B229" s="75" t="s">
        <v>329</v>
      </c>
      <c r="C229" s="76" t="s">
        <v>379</v>
      </c>
      <c r="D229" s="77" t="s">
        <v>122</v>
      </c>
      <c r="E229" s="78">
        <v>1.27</v>
      </c>
    </row>
    <row r="230" spans="2:5" ht="15" customHeight="1" x14ac:dyDescent="0.2">
      <c r="B230" s="75" t="s">
        <v>330</v>
      </c>
      <c r="C230" s="76" t="s">
        <v>380</v>
      </c>
      <c r="D230" s="77" t="s">
        <v>138</v>
      </c>
      <c r="E230" s="78">
        <v>1.26</v>
      </c>
    </row>
    <row r="232" spans="2:5" ht="23.25" customHeight="1" x14ac:dyDescent="0.2">
      <c r="B232" s="188" t="s">
        <v>409</v>
      </c>
      <c r="C232" s="143"/>
      <c r="D232" s="143"/>
      <c r="E232" s="143"/>
    </row>
    <row r="233" spans="2:5" ht="15" customHeight="1" x14ac:dyDescent="0.2">
      <c r="B233" s="74" t="s">
        <v>310</v>
      </c>
      <c r="C233" s="74" t="s">
        <v>104</v>
      </c>
      <c r="D233" s="74" t="s">
        <v>372</v>
      </c>
      <c r="E233" s="74" t="s">
        <v>105</v>
      </c>
    </row>
    <row r="234" spans="2:5" ht="15" customHeight="1" x14ac:dyDescent="0.2">
      <c r="B234" s="75" t="s">
        <v>318</v>
      </c>
      <c r="C234" s="76" t="s">
        <v>373</v>
      </c>
      <c r="D234" s="77" t="s">
        <v>374</v>
      </c>
      <c r="E234" s="78">
        <v>1.45</v>
      </c>
    </row>
    <row r="235" spans="2:5" ht="15" customHeight="1" x14ac:dyDescent="0.2">
      <c r="B235" s="75" t="s">
        <v>319</v>
      </c>
      <c r="C235" s="76" t="s">
        <v>109</v>
      </c>
      <c r="D235" s="77" t="s">
        <v>108</v>
      </c>
      <c r="E235" s="78">
        <v>1.26</v>
      </c>
    </row>
    <row r="236" spans="2:5" ht="15" customHeight="1" x14ac:dyDescent="0.2">
      <c r="B236" s="75" t="s">
        <v>320</v>
      </c>
      <c r="C236" s="76" t="s">
        <v>113</v>
      </c>
      <c r="D236" s="77" t="s">
        <v>112</v>
      </c>
      <c r="E236" s="78">
        <v>1.05</v>
      </c>
    </row>
    <row r="237" spans="2:5" ht="15" customHeight="1" x14ac:dyDescent="0.2">
      <c r="B237" s="75" t="s">
        <v>321</v>
      </c>
      <c r="C237" s="76" t="s">
        <v>392</v>
      </c>
      <c r="D237" s="77" t="s">
        <v>393</v>
      </c>
      <c r="E237" s="78">
        <v>1.1000000000000001</v>
      </c>
    </row>
    <row r="238" spans="2:5" ht="15" customHeight="1" x14ac:dyDescent="0.2">
      <c r="B238" s="75" t="s">
        <v>322</v>
      </c>
      <c r="C238" s="76" t="s">
        <v>388</v>
      </c>
      <c r="D238" s="77" t="s">
        <v>120</v>
      </c>
      <c r="E238" s="78">
        <v>1.34</v>
      </c>
    </row>
    <row r="239" spans="2:5" ht="15" customHeight="1" x14ac:dyDescent="0.2">
      <c r="B239" s="75" t="s">
        <v>323</v>
      </c>
      <c r="C239" s="76" t="s">
        <v>123</v>
      </c>
      <c r="D239" s="77" t="s">
        <v>122</v>
      </c>
      <c r="E239" s="78">
        <v>1.28</v>
      </c>
    </row>
    <row r="240" spans="2:5" ht="15" customHeight="1" x14ac:dyDescent="0.2">
      <c r="B240" s="75" t="s">
        <v>323</v>
      </c>
      <c r="C240" s="76" t="s">
        <v>389</v>
      </c>
      <c r="D240" s="77" t="s">
        <v>150</v>
      </c>
      <c r="E240" s="78">
        <v>1.42</v>
      </c>
    </row>
    <row r="241" spans="2:5" ht="15" customHeight="1" x14ac:dyDescent="0.2">
      <c r="B241" s="75" t="s">
        <v>324</v>
      </c>
      <c r="C241" s="76" t="s">
        <v>396</v>
      </c>
      <c r="D241" s="77" t="s">
        <v>397</v>
      </c>
      <c r="E241" s="78">
        <v>1.27</v>
      </c>
    </row>
    <row r="242" spans="2:5" ht="15" customHeight="1" x14ac:dyDescent="0.2">
      <c r="B242" s="75" t="s">
        <v>325</v>
      </c>
      <c r="C242" s="76" t="s">
        <v>152</v>
      </c>
      <c r="D242" s="77" t="s">
        <v>138</v>
      </c>
      <c r="E242" s="78">
        <v>2.0499999999999998</v>
      </c>
    </row>
    <row r="243" spans="2:5" ht="15" customHeight="1" x14ac:dyDescent="0.2">
      <c r="B243" s="75" t="s">
        <v>327</v>
      </c>
      <c r="C243" s="76" t="s">
        <v>377</v>
      </c>
      <c r="D243" s="77" t="s">
        <v>378</v>
      </c>
      <c r="E243" s="78">
        <v>1.47</v>
      </c>
    </row>
    <row r="244" spans="2:5" ht="15" customHeight="1" x14ac:dyDescent="0.2">
      <c r="B244" s="75" t="s">
        <v>327</v>
      </c>
      <c r="C244" s="76" t="s">
        <v>186</v>
      </c>
      <c r="D244" s="77" t="s">
        <v>182</v>
      </c>
      <c r="E244" s="78">
        <v>1.47</v>
      </c>
    </row>
    <row r="245" spans="2:5" ht="15" customHeight="1" x14ac:dyDescent="0.2">
      <c r="B245" s="75" t="s">
        <v>329</v>
      </c>
      <c r="C245" s="76" t="s">
        <v>390</v>
      </c>
      <c r="D245" s="77" t="s">
        <v>158</v>
      </c>
      <c r="E245" s="78">
        <v>1.5</v>
      </c>
    </row>
    <row r="246" spans="2:5" ht="15" customHeight="1" x14ac:dyDescent="0.2">
      <c r="B246" s="75" t="s">
        <v>329</v>
      </c>
      <c r="C246" s="76" t="s">
        <v>379</v>
      </c>
      <c r="D246" s="77" t="s">
        <v>122</v>
      </c>
      <c r="E246" s="78">
        <v>1.27</v>
      </c>
    </row>
    <row r="247" spans="2:5" ht="15" customHeight="1" x14ac:dyDescent="0.2">
      <c r="B247" s="75" t="s">
        <v>329</v>
      </c>
      <c r="C247" s="76" t="s">
        <v>157</v>
      </c>
      <c r="D247" s="77" t="s">
        <v>142</v>
      </c>
      <c r="E247" s="78">
        <v>1.32</v>
      </c>
    </row>
    <row r="248" spans="2:5" ht="15" customHeight="1" x14ac:dyDescent="0.2">
      <c r="B248" s="75" t="s">
        <v>331</v>
      </c>
      <c r="C248" s="76" t="s">
        <v>168</v>
      </c>
      <c r="D248" s="77" t="s">
        <v>383</v>
      </c>
      <c r="E248" s="78">
        <v>1.34</v>
      </c>
    </row>
    <row r="249" spans="2:5" ht="15" customHeight="1" x14ac:dyDescent="0.2">
      <c r="B249" s="75" t="s">
        <v>332</v>
      </c>
      <c r="C249" s="76" t="s">
        <v>174</v>
      </c>
      <c r="D249" s="77" t="s">
        <v>173</v>
      </c>
      <c r="E249" s="78">
        <v>1.47</v>
      </c>
    </row>
    <row r="250" spans="2:5" ht="15" customHeight="1" x14ac:dyDescent="0.2">
      <c r="B250" s="75" t="s">
        <v>333</v>
      </c>
      <c r="C250" s="76" t="s">
        <v>386</v>
      </c>
      <c r="D250" s="77" t="s">
        <v>118</v>
      </c>
      <c r="E250" s="78">
        <v>1.2</v>
      </c>
    </row>
    <row r="252" spans="2:5" ht="23.25" customHeight="1" x14ac:dyDescent="0.2">
      <c r="B252" s="188" t="s">
        <v>410</v>
      </c>
      <c r="C252" s="143"/>
      <c r="D252" s="143"/>
      <c r="E252" s="143"/>
    </row>
    <row r="253" spans="2:5" ht="15" customHeight="1" x14ac:dyDescent="0.2">
      <c r="B253" s="74" t="s">
        <v>310</v>
      </c>
      <c r="C253" s="74" t="s">
        <v>104</v>
      </c>
      <c r="D253" s="74" t="s">
        <v>372</v>
      </c>
      <c r="E253" s="74" t="s">
        <v>105</v>
      </c>
    </row>
    <row r="254" spans="2:5" ht="15" customHeight="1" x14ac:dyDescent="0.2">
      <c r="B254" s="75" t="s">
        <v>318</v>
      </c>
      <c r="C254" s="76" t="s">
        <v>373</v>
      </c>
      <c r="D254" s="77" t="s">
        <v>374</v>
      </c>
      <c r="E254" s="78">
        <v>1.45</v>
      </c>
    </row>
    <row r="255" spans="2:5" ht="15" customHeight="1" x14ac:dyDescent="0.2">
      <c r="B255" s="75" t="s">
        <v>319</v>
      </c>
      <c r="C255" s="76" t="s">
        <v>375</v>
      </c>
      <c r="D255" s="77" t="s">
        <v>376</v>
      </c>
      <c r="E255" s="78">
        <v>1.8</v>
      </c>
    </row>
    <row r="256" spans="2:5" ht="15" customHeight="1" x14ac:dyDescent="0.2">
      <c r="B256" s="75" t="s">
        <v>321</v>
      </c>
      <c r="C256" s="76" t="s">
        <v>183</v>
      </c>
      <c r="D256" s="77" t="s">
        <v>182</v>
      </c>
      <c r="E256" s="78">
        <v>1.5</v>
      </c>
    </row>
    <row r="257" spans="2:5" ht="15" customHeight="1" x14ac:dyDescent="0.2">
      <c r="B257" s="75" t="s">
        <v>322</v>
      </c>
      <c r="C257" s="76" t="s">
        <v>176</v>
      </c>
      <c r="D257" s="77" t="s">
        <v>134</v>
      </c>
      <c r="E257" s="78">
        <v>1.47</v>
      </c>
    </row>
    <row r="258" spans="2:5" ht="15" customHeight="1" x14ac:dyDescent="0.2">
      <c r="B258" s="75" t="s">
        <v>322</v>
      </c>
      <c r="C258" s="76" t="s">
        <v>388</v>
      </c>
      <c r="D258" s="77" t="s">
        <v>120</v>
      </c>
      <c r="E258" s="78">
        <v>1.34</v>
      </c>
    </row>
    <row r="259" spans="2:5" ht="15" customHeight="1" x14ac:dyDescent="0.2">
      <c r="B259" s="75" t="s">
        <v>325</v>
      </c>
      <c r="C259" s="76" t="s">
        <v>152</v>
      </c>
      <c r="D259" s="77" t="s">
        <v>138</v>
      </c>
      <c r="E259" s="78">
        <v>2.0499999999999998</v>
      </c>
    </row>
    <row r="260" spans="2:5" ht="15" customHeight="1" x14ac:dyDescent="0.2">
      <c r="B260" s="75" t="s">
        <v>327</v>
      </c>
      <c r="C260" s="76" t="s">
        <v>377</v>
      </c>
      <c r="D260" s="77" t="s">
        <v>378</v>
      </c>
      <c r="E260" s="78">
        <v>1.47</v>
      </c>
    </row>
    <row r="261" spans="2:5" ht="15" customHeight="1" x14ac:dyDescent="0.2">
      <c r="B261" s="75" t="s">
        <v>327</v>
      </c>
      <c r="C261" s="76" t="s">
        <v>186</v>
      </c>
      <c r="D261" s="77" t="s">
        <v>182</v>
      </c>
      <c r="E261" s="78">
        <v>1.47</v>
      </c>
    </row>
    <row r="262" spans="2:5" ht="15" customHeight="1" x14ac:dyDescent="0.2">
      <c r="B262" s="75" t="s">
        <v>328</v>
      </c>
      <c r="C262" s="76" t="s">
        <v>135</v>
      </c>
      <c r="D262" s="77" t="s">
        <v>134</v>
      </c>
      <c r="E262" s="78">
        <v>1.1200000000000001</v>
      </c>
    </row>
    <row r="263" spans="2:5" ht="15" customHeight="1" x14ac:dyDescent="0.2">
      <c r="B263" s="75" t="s">
        <v>329</v>
      </c>
      <c r="C263" s="76" t="s">
        <v>390</v>
      </c>
      <c r="D263" s="77" t="s">
        <v>158</v>
      </c>
      <c r="E263" s="78">
        <v>1.5</v>
      </c>
    </row>
    <row r="264" spans="2:5" ht="15" customHeight="1" x14ac:dyDescent="0.2">
      <c r="B264" s="75" t="s">
        <v>329</v>
      </c>
      <c r="C264" s="76" t="s">
        <v>164</v>
      </c>
      <c r="D264" s="77" t="s">
        <v>150</v>
      </c>
      <c r="E264" s="78">
        <v>1.52</v>
      </c>
    </row>
    <row r="265" spans="2:5" ht="15" customHeight="1" x14ac:dyDescent="0.2">
      <c r="B265" s="75" t="s">
        <v>331</v>
      </c>
      <c r="C265" s="76" t="s">
        <v>168</v>
      </c>
      <c r="D265" s="77" t="s">
        <v>383</v>
      </c>
      <c r="E265" s="78">
        <v>1.34</v>
      </c>
    </row>
    <row r="266" spans="2:5" ht="15" customHeight="1" x14ac:dyDescent="0.2">
      <c r="B266" s="75" t="s">
        <v>332</v>
      </c>
      <c r="C266" s="76" t="s">
        <v>174</v>
      </c>
      <c r="D266" s="77" t="s">
        <v>173</v>
      </c>
      <c r="E266" s="78">
        <v>1.47</v>
      </c>
    </row>
    <row r="268" spans="2:5" ht="23.25" customHeight="1" x14ac:dyDescent="0.2">
      <c r="B268" s="188" t="s">
        <v>411</v>
      </c>
      <c r="C268" s="143"/>
      <c r="D268" s="143"/>
      <c r="E268" s="143"/>
    </row>
    <row r="269" spans="2:5" ht="15" customHeight="1" x14ac:dyDescent="0.2">
      <c r="B269" s="74" t="s">
        <v>310</v>
      </c>
      <c r="C269" s="74" t="s">
        <v>104</v>
      </c>
      <c r="D269" s="74" t="s">
        <v>372</v>
      </c>
      <c r="E269" s="74" t="s">
        <v>105</v>
      </c>
    </row>
    <row r="270" spans="2:5" ht="15" customHeight="1" x14ac:dyDescent="0.2">
      <c r="B270" s="75" t="s">
        <v>319</v>
      </c>
      <c r="C270" s="76" t="s">
        <v>109</v>
      </c>
      <c r="D270" s="77" t="s">
        <v>108</v>
      </c>
      <c r="E270" s="78">
        <v>1.26</v>
      </c>
    </row>
    <row r="271" spans="2:5" ht="15" customHeight="1" x14ac:dyDescent="0.2">
      <c r="B271" s="75" t="s">
        <v>321</v>
      </c>
      <c r="C271" s="76" t="s">
        <v>183</v>
      </c>
      <c r="D271" s="77" t="s">
        <v>182</v>
      </c>
      <c r="E271" s="78">
        <v>1.5</v>
      </c>
    </row>
    <row r="272" spans="2:5" ht="15" customHeight="1" x14ac:dyDescent="0.2">
      <c r="B272" s="75" t="s">
        <v>322</v>
      </c>
      <c r="C272" s="76" t="s">
        <v>176</v>
      </c>
      <c r="D272" s="77" t="s">
        <v>134</v>
      </c>
      <c r="E272" s="78">
        <v>1.47</v>
      </c>
    </row>
    <row r="273" spans="2:5" ht="15" customHeight="1" x14ac:dyDescent="0.2">
      <c r="B273" s="75" t="s">
        <v>322</v>
      </c>
      <c r="C273" s="76" t="s">
        <v>388</v>
      </c>
      <c r="D273" s="77" t="s">
        <v>120</v>
      </c>
      <c r="E273" s="78">
        <v>1.34</v>
      </c>
    </row>
    <row r="274" spans="2:5" ht="15" customHeight="1" x14ac:dyDescent="0.2">
      <c r="B274" s="75" t="s">
        <v>323</v>
      </c>
      <c r="C274" s="76" t="s">
        <v>394</v>
      </c>
      <c r="D274" s="77" t="s">
        <v>395</v>
      </c>
      <c r="E274" s="78">
        <v>1.29</v>
      </c>
    </row>
    <row r="275" spans="2:5" ht="15" customHeight="1" x14ac:dyDescent="0.2">
      <c r="B275" s="75" t="s">
        <v>323</v>
      </c>
      <c r="C275" s="76" t="s">
        <v>389</v>
      </c>
      <c r="D275" s="77" t="s">
        <v>150</v>
      </c>
      <c r="E275" s="78">
        <v>1.42</v>
      </c>
    </row>
    <row r="276" spans="2:5" ht="15" customHeight="1" x14ac:dyDescent="0.2">
      <c r="B276" s="75" t="s">
        <v>325</v>
      </c>
      <c r="C276" s="76" t="s">
        <v>152</v>
      </c>
      <c r="D276" s="77" t="s">
        <v>138</v>
      </c>
      <c r="E276" s="78">
        <v>2.0499999999999998</v>
      </c>
    </row>
    <row r="277" spans="2:5" ht="15" customHeight="1" x14ac:dyDescent="0.2">
      <c r="B277" s="75" t="s">
        <v>327</v>
      </c>
      <c r="C277" s="76" t="s">
        <v>403</v>
      </c>
      <c r="D277" s="77" t="s">
        <v>393</v>
      </c>
      <c r="E277" s="78">
        <v>1.1299999999999999</v>
      </c>
    </row>
    <row r="278" spans="2:5" ht="15" customHeight="1" x14ac:dyDescent="0.2">
      <c r="B278" s="75" t="s">
        <v>327</v>
      </c>
      <c r="C278" s="76" t="s">
        <v>186</v>
      </c>
      <c r="D278" s="77" t="s">
        <v>182</v>
      </c>
      <c r="E278" s="78">
        <v>1.47</v>
      </c>
    </row>
    <row r="279" spans="2:5" ht="15" customHeight="1" x14ac:dyDescent="0.2">
      <c r="B279" s="75" t="s">
        <v>327</v>
      </c>
      <c r="C279" s="76" t="s">
        <v>156</v>
      </c>
      <c r="D279" s="77" t="s">
        <v>399</v>
      </c>
      <c r="E279" s="78">
        <v>1.19</v>
      </c>
    </row>
    <row r="280" spans="2:5" ht="15" customHeight="1" x14ac:dyDescent="0.2">
      <c r="B280" s="75" t="s">
        <v>328</v>
      </c>
      <c r="C280" s="76" t="s">
        <v>135</v>
      </c>
      <c r="D280" s="77" t="s">
        <v>134</v>
      </c>
      <c r="E280" s="78">
        <v>1.1200000000000001</v>
      </c>
    </row>
    <row r="281" spans="2:5" ht="15" customHeight="1" x14ac:dyDescent="0.2">
      <c r="B281" s="75" t="s">
        <v>329</v>
      </c>
      <c r="C281" s="76" t="s">
        <v>390</v>
      </c>
      <c r="D281" s="77" t="s">
        <v>158</v>
      </c>
      <c r="E281" s="78">
        <v>1.5</v>
      </c>
    </row>
    <row r="282" spans="2:5" ht="15" customHeight="1" x14ac:dyDescent="0.2">
      <c r="B282" s="75" t="s">
        <v>330</v>
      </c>
      <c r="C282" s="76" t="s">
        <v>380</v>
      </c>
      <c r="D282" s="77" t="s">
        <v>138</v>
      </c>
      <c r="E282" s="78">
        <v>1.26</v>
      </c>
    </row>
    <row r="283" spans="2:5" ht="15" customHeight="1" x14ac:dyDescent="0.2">
      <c r="B283" s="75" t="s">
        <v>330</v>
      </c>
      <c r="C283" s="76" t="s">
        <v>137</v>
      </c>
      <c r="D283" s="77" t="s">
        <v>130</v>
      </c>
      <c r="E283" s="78">
        <v>1.4</v>
      </c>
    </row>
    <row r="284" spans="2:5" ht="15" customHeight="1" x14ac:dyDescent="0.2">
      <c r="B284" s="75" t="s">
        <v>331</v>
      </c>
      <c r="C284" s="76" t="s">
        <v>168</v>
      </c>
      <c r="D284" s="77" t="s">
        <v>383</v>
      </c>
      <c r="E284" s="78">
        <v>1.34</v>
      </c>
    </row>
    <row r="285" spans="2:5" ht="15" customHeight="1" x14ac:dyDescent="0.2">
      <c r="B285" s="75" t="s">
        <v>332</v>
      </c>
      <c r="C285" s="76" t="s">
        <v>384</v>
      </c>
      <c r="D285" s="77" t="s">
        <v>378</v>
      </c>
      <c r="E285" s="78">
        <v>1.3</v>
      </c>
    </row>
    <row r="286" spans="2:5" ht="15" customHeight="1" x14ac:dyDescent="0.2">
      <c r="B286" s="75" t="s">
        <v>333</v>
      </c>
      <c r="C286" s="76" t="s">
        <v>385</v>
      </c>
      <c r="D286" s="77" t="s">
        <v>142</v>
      </c>
      <c r="E286" s="78">
        <v>1.2</v>
      </c>
    </row>
    <row r="288" spans="2:5" ht="23.25" customHeight="1" x14ac:dyDescent="0.2">
      <c r="B288" s="188" t="s">
        <v>412</v>
      </c>
      <c r="C288" s="143"/>
      <c r="D288" s="143"/>
      <c r="E288" s="143"/>
    </row>
    <row r="289" spans="2:5" ht="15" customHeight="1" x14ac:dyDescent="0.2">
      <c r="B289" s="74" t="s">
        <v>310</v>
      </c>
      <c r="C289" s="74" t="s">
        <v>104</v>
      </c>
      <c r="D289" s="74" t="s">
        <v>372</v>
      </c>
      <c r="E289" s="74" t="s">
        <v>105</v>
      </c>
    </row>
    <row r="290" spans="2:5" ht="15" customHeight="1" x14ac:dyDescent="0.2">
      <c r="B290" s="75" t="s">
        <v>318</v>
      </c>
      <c r="C290" s="76" t="s">
        <v>373</v>
      </c>
      <c r="D290" s="77" t="s">
        <v>374</v>
      </c>
      <c r="E290" s="78">
        <v>1.45</v>
      </c>
    </row>
    <row r="291" spans="2:5" ht="15" customHeight="1" x14ac:dyDescent="0.2">
      <c r="B291" s="75" t="s">
        <v>319</v>
      </c>
      <c r="C291" s="76" t="s">
        <v>375</v>
      </c>
      <c r="D291" s="77" t="s">
        <v>376</v>
      </c>
      <c r="E291" s="78">
        <v>1.8</v>
      </c>
    </row>
    <row r="292" spans="2:5" ht="15" customHeight="1" x14ac:dyDescent="0.2">
      <c r="B292" s="75" t="s">
        <v>319</v>
      </c>
      <c r="C292" s="76" t="s">
        <v>109</v>
      </c>
      <c r="D292" s="77" t="s">
        <v>108</v>
      </c>
      <c r="E292" s="78">
        <v>1.26</v>
      </c>
    </row>
    <row r="293" spans="2:5" ht="15" customHeight="1" x14ac:dyDescent="0.2">
      <c r="B293" s="75" t="s">
        <v>321</v>
      </c>
      <c r="C293" s="76" t="s">
        <v>183</v>
      </c>
      <c r="D293" s="77" t="s">
        <v>182</v>
      </c>
      <c r="E293" s="78">
        <v>1.5</v>
      </c>
    </row>
    <row r="294" spans="2:5" ht="15" customHeight="1" x14ac:dyDescent="0.2">
      <c r="B294" s="75" t="s">
        <v>323</v>
      </c>
      <c r="C294" s="76" t="s">
        <v>123</v>
      </c>
      <c r="D294" s="77" t="s">
        <v>122</v>
      </c>
      <c r="E294" s="78">
        <v>1.28</v>
      </c>
    </row>
    <row r="295" spans="2:5" ht="15" customHeight="1" x14ac:dyDescent="0.2">
      <c r="B295" s="75" t="s">
        <v>323</v>
      </c>
      <c r="C295" s="76" t="s">
        <v>394</v>
      </c>
      <c r="D295" s="77" t="s">
        <v>395</v>
      </c>
      <c r="E295" s="78">
        <v>1.29</v>
      </c>
    </row>
    <row r="296" spans="2:5" ht="15" customHeight="1" x14ac:dyDescent="0.2">
      <c r="B296" s="75" t="s">
        <v>326</v>
      </c>
      <c r="C296" s="76" t="s">
        <v>133</v>
      </c>
      <c r="D296" s="77" t="s">
        <v>132</v>
      </c>
      <c r="E296" s="78">
        <v>1.27</v>
      </c>
    </row>
    <row r="297" spans="2:5" ht="15" customHeight="1" x14ac:dyDescent="0.2">
      <c r="B297" s="75" t="s">
        <v>327</v>
      </c>
      <c r="C297" s="76" t="s">
        <v>403</v>
      </c>
      <c r="D297" s="77" t="s">
        <v>393</v>
      </c>
      <c r="E297" s="78">
        <v>1.1299999999999999</v>
      </c>
    </row>
    <row r="298" spans="2:5" ht="15" customHeight="1" x14ac:dyDescent="0.2">
      <c r="B298" s="75" t="s">
        <v>327</v>
      </c>
      <c r="C298" s="76" t="s">
        <v>377</v>
      </c>
      <c r="D298" s="77" t="s">
        <v>378</v>
      </c>
      <c r="E298" s="78">
        <v>1.47</v>
      </c>
    </row>
    <row r="299" spans="2:5" ht="15" customHeight="1" x14ac:dyDescent="0.2">
      <c r="B299" s="75" t="s">
        <v>327</v>
      </c>
      <c r="C299" s="76" t="s">
        <v>186</v>
      </c>
      <c r="D299" s="77" t="s">
        <v>182</v>
      </c>
      <c r="E299" s="78">
        <v>1.47</v>
      </c>
    </row>
    <row r="300" spans="2:5" ht="15" customHeight="1" x14ac:dyDescent="0.2">
      <c r="B300" s="75" t="s">
        <v>329</v>
      </c>
      <c r="C300" s="76" t="s">
        <v>390</v>
      </c>
      <c r="D300" s="77" t="s">
        <v>158</v>
      </c>
      <c r="E300" s="78">
        <v>1.5</v>
      </c>
    </row>
    <row r="301" spans="2:5" ht="15" customHeight="1" x14ac:dyDescent="0.2">
      <c r="B301" s="75" t="s">
        <v>329</v>
      </c>
      <c r="C301" s="76" t="s">
        <v>379</v>
      </c>
      <c r="D301" s="77" t="s">
        <v>122</v>
      </c>
      <c r="E301" s="78">
        <v>1.27</v>
      </c>
    </row>
    <row r="302" spans="2:5" ht="15" customHeight="1" x14ac:dyDescent="0.2">
      <c r="B302" s="75" t="s">
        <v>329</v>
      </c>
      <c r="C302" s="76" t="s">
        <v>157</v>
      </c>
      <c r="D302" s="77" t="s">
        <v>142</v>
      </c>
      <c r="E302" s="78">
        <v>1.32</v>
      </c>
    </row>
    <row r="303" spans="2:5" ht="15" customHeight="1" x14ac:dyDescent="0.2">
      <c r="B303" s="75" t="s">
        <v>330</v>
      </c>
      <c r="C303" s="76" t="s">
        <v>137</v>
      </c>
      <c r="D303" s="77" t="s">
        <v>130</v>
      </c>
      <c r="E303" s="78">
        <v>1.4</v>
      </c>
    </row>
    <row r="304" spans="2:5" ht="15" customHeight="1" x14ac:dyDescent="0.2">
      <c r="B304" s="75" t="s">
        <v>330</v>
      </c>
      <c r="C304" s="76" t="s">
        <v>380</v>
      </c>
      <c r="D304" s="77" t="s">
        <v>138</v>
      </c>
      <c r="E304" s="78">
        <v>1.26</v>
      </c>
    </row>
    <row r="305" spans="2:5" ht="15" customHeight="1" x14ac:dyDescent="0.2">
      <c r="B305" s="75" t="s">
        <v>330</v>
      </c>
      <c r="C305" s="76" t="s">
        <v>381</v>
      </c>
      <c r="D305" s="77" t="s">
        <v>382</v>
      </c>
      <c r="E305" s="78">
        <v>1.27</v>
      </c>
    </row>
    <row r="306" spans="2:5" ht="15" customHeight="1" x14ac:dyDescent="0.2">
      <c r="B306" s="75" t="s">
        <v>333</v>
      </c>
      <c r="C306" s="76" t="s">
        <v>385</v>
      </c>
      <c r="D306" s="77" t="s">
        <v>142</v>
      </c>
      <c r="E306" s="78">
        <v>1.2</v>
      </c>
    </row>
    <row r="308" spans="2:5" ht="23.25" customHeight="1" x14ac:dyDescent="0.2">
      <c r="B308" s="188" t="s">
        <v>413</v>
      </c>
      <c r="C308" s="143"/>
      <c r="D308" s="143"/>
      <c r="E308" s="143"/>
    </row>
    <row r="309" spans="2:5" ht="15" customHeight="1" x14ac:dyDescent="0.2">
      <c r="B309" s="74" t="s">
        <v>310</v>
      </c>
      <c r="C309" s="74" t="s">
        <v>104</v>
      </c>
      <c r="D309" s="74" t="s">
        <v>372</v>
      </c>
      <c r="E309" s="74" t="s">
        <v>105</v>
      </c>
    </row>
    <row r="310" spans="2:5" ht="15" customHeight="1" x14ac:dyDescent="0.2">
      <c r="B310" s="75" t="s">
        <v>319</v>
      </c>
      <c r="C310" s="76" t="s">
        <v>375</v>
      </c>
      <c r="D310" s="77" t="s">
        <v>376</v>
      </c>
      <c r="E310" s="78">
        <v>1.8</v>
      </c>
    </row>
    <row r="311" spans="2:5" ht="15" customHeight="1" x14ac:dyDescent="0.2">
      <c r="B311" s="75" t="s">
        <v>321</v>
      </c>
      <c r="C311" s="76" t="s">
        <v>183</v>
      </c>
      <c r="D311" s="77" t="s">
        <v>182</v>
      </c>
      <c r="E311" s="78">
        <v>1.5</v>
      </c>
    </row>
    <row r="312" spans="2:5" ht="15" customHeight="1" x14ac:dyDescent="0.2">
      <c r="B312" s="75" t="s">
        <v>322</v>
      </c>
      <c r="C312" s="76" t="s">
        <v>176</v>
      </c>
      <c r="D312" s="77" t="s">
        <v>134</v>
      </c>
      <c r="E312" s="78">
        <v>1.47</v>
      </c>
    </row>
    <row r="313" spans="2:5" ht="15" customHeight="1" x14ac:dyDescent="0.2">
      <c r="B313" s="75" t="s">
        <v>323</v>
      </c>
      <c r="C313" s="76" t="s">
        <v>123</v>
      </c>
      <c r="D313" s="77" t="s">
        <v>122</v>
      </c>
      <c r="E313" s="78">
        <v>1.28</v>
      </c>
    </row>
    <row r="314" spans="2:5" ht="15" customHeight="1" x14ac:dyDescent="0.2">
      <c r="B314" s="75" t="s">
        <v>323</v>
      </c>
      <c r="C314" s="76" t="s">
        <v>389</v>
      </c>
      <c r="D314" s="77" t="s">
        <v>150</v>
      </c>
      <c r="E314" s="78">
        <v>1.42</v>
      </c>
    </row>
    <row r="315" spans="2:5" ht="15" customHeight="1" x14ac:dyDescent="0.2">
      <c r="B315" s="75" t="s">
        <v>324</v>
      </c>
      <c r="C315" s="76" t="s">
        <v>396</v>
      </c>
      <c r="D315" s="77" t="s">
        <v>397</v>
      </c>
      <c r="E315" s="78">
        <v>1.27</v>
      </c>
    </row>
    <row r="316" spans="2:5" ht="15" customHeight="1" x14ac:dyDescent="0.2">
      <c r="B316" s="75" t="s">
        <v>325</v>
      </c>
      <c r="C316" s="76" t="s">
        <v>152</v>
      </c>
      <c r="D316" s="77" t="s">
        <v>138</v>
      </c>
      <c r="E316" s="78">
        <v>2.0499999999999998</v>
      </c>
    </row>
    <row r="317" spans="2:5" ht="15" customHeight="1" x14ac:dyDescent="0.2">
      <c r="B317" s="75" t="s">
        <v>327</v>
      </c>
      <c r="C317" s="76" t="s">
        <v>377</v>
      </c>
      <c r="D317" s="77" t="s">
        <v>378</v>
      </c>
      <c r="E317" s="78">
        <v>1.47</v>
      </c>
    </row>
    <row r="318" spans="2:5" ht="15" customHeight="1" x14ac:dyDescent="0.2">
      <c r="B318" s="75" t="s">
        <v>327</v>
      </c>
      <c r="C318" s="76" t="s">
        <v>186</v>
      </c>
      <c r="D318" s="77" t="s">
        <v>182</v>
      </c>
      <c r="E318" s="78">
        <v>1.47</v>
      </c>
    </row>
    <row r="319" spans="2:5" ht="15" customHeight="1" x14ac:dyDescent="0.2">
      <c r="B319" s="75" t="s">
        <v>329</v>
      </c>
      <c r="C319" s="76" t="s">
        <v>164</v>
      </c>
      <c r="D319" s="77" t="s">
        <v>150</v>
      </c>
      <c r="E319" s="78">
        <v>1.52</v>
      </c>
    </row>
    <row r="320" spans="2:5" ht="15" customHeight="1" x14ac:dyDescent="0.2">
      <c r="B320" s="75" t="s">
        <v>329</v>
      </c>
      <c r="C320" s="76" t="s">
        <v>379</v>
      </c>
      <c r="D320" s="77" t="s">
        <v>122</v>
      </c>
      <c r="E320" s="78">
        <v>1.27</v>
      </c>
    </row>
    <row r="321" spans="2:5" ht="15" customHeight="1" x14ac:dyDescent="0.2">
      <c r="B321" s="75" t="s">
        <v>329</v>
      </c>
      <c r="C321" s="76" t="s">
        <v>157</v>
      </c>
      <c r="D321" s="77" t="s">
        <v>142</v>
      </c>
      <c r="E321" s="78">
        <v>1.32</v>
      </c>
    </row>
    <row r="322" spans="2:5" ht="15" customHeight="1" x14ac:dyDescent="0.2">
      <c r="B322" s="75" t="s">
        <v>330</v>
      </c>
      <c r="C322" s="76" t="s">
        <v>381</v>
      </c>
      <c r="D322" s="77" t="s">
        <v>382</v>
      </c>
      <c r="E322" s="78">
        <v>1.27</v>
      </c>
    </row>
    <row r="323" spans="2:5" ht="15" customHeight="1" x14ac:dyDescent="0.2">
      <c r="B323" s="75" t="s">
        <v>332</v>
      </c>
      <c r="C323" s="76" t="s">
        <v>384</v>
      </c>
      <c r="D323" s="77" t="s">
        <v>378</v>
      </c>
      <c r="E323" s="78">
        <v>1.3</v>
      </c>
    </row>
    <row r="325" spans="2:5" ht="23.25" customHeight="1" x14ac:dyDescent="0.2">
      <c r="B325" s="188" t="s">
        <v>414</v>
      </c>
      <c r="C325" s="143"/>
      <c r="D325" s="143"/>
      <c r="E325" s="143"/>
    </row>
    <row r="326" spans="2:5" ht="15" customHeight="1" x14ac:dyDescent="0.2">
      <c r="B326" s="74" t="s">
        <v>310</v>
      </c>
      <c r="C326" s="74" t="s">
        <v>104</v>
      </c>
      <c r="D326" s="74" t="s">
        <v>372</v>
      </c>
      <c r="E326" s="74" t="s">
        <v>105</v>
      </c>
    </row>
    <row r="327" spans="2:5" ht="15" customHeight="1" x14ac:dyDescent="0.2">
      <c r="B327" s="75" t="s">
        <v>319</v>
      </c>
      <c r="C327" s="76" t="s">
        <v>109</v>
      </c>
      <c r="D327" s="77" t="s">
        <v>108</v>
      </c>
      <c r="E327" s="78">
        <v>1.26</v>
      </c>
    </row>
    <row r="328" spans="2:5" ht="15" customHeight="1" x14ac:dyDescent="0.2">
      <c r="B328" s="75" t="s">
        <v>319</v>
      </c>
      <c r="C328" s="76" t="s">
        <v>375</v>
      </c>
      <c r="D328" s="77" t="s">
        <v>376</v>
      </c>
      <c r="E328" s="78">
        <v>1.8</v>
      </c>
    </row>
    <row r="329" spans="2:5" ht="15" customHeight="1" x14ac:dyDescent="0.2">
      <c r="B329" s="75" t="s">
        <v>322</v>
      </c>
      <c r="C329" s="76" t="s">
        <v>176</v>
      </c>
      <c r="D329" s="77" t="s">
        <v>134</v>
      </c>
      <c r="E329" s="78">
        <v>1.47</v>
      </c>
    </row>
    <row r="330" spans="2:5" ht="15" customHeight="1" x14ac:dyDescent="0.2">
      <c r="B330" s="75" t="s">
        <v>322</v>
      </c>
      <c r="C330" s="76" t="s">
        <v>117</v>
      </c>
      <c r="D330" s="77" t="s">
        <v>116</v>
      </c>
      <c r="E330" s="78">
        <v>1.23</v>
      </c>
    </row>
    <row r="331" spans="2:5" ht="15" customHeight="1" x14ac:dyDescent="0.2">
      <c r="B331" s="75" t="s">
        <v>323</v>
      </c>
      <c r="C331" s="76" t="s">
        <v>123</v>
      </c>
      <c r="D331" s="77" t="s">
        <v>122</v>
      </c>
      <c r="E331" s="78">
        <v>1.28</v>
      </c>
    </row>
    <row r="332" spans="2:5" ht="15" customHeight="1" x14ac:dyDescent="0.2">
      <c r="B332" s="75" t="s">
        <v>323</v>
      </c>
      <c r="C332" s="76" t="s">
        <v>394</v>
      </c>
      <c r="D332" s="77" t="s">
        <v>395</v>
      </c>
      <c r="E332" s="78">
        <v>1.29</v>
      </c>
    </row>
    <row r="333" spans="2:5" ht="15" customHeight="1" x14ac:dyDescent="0.2">
      <c r="B333" s="75" t="s">
        <v>323</v>
      </c>
      <c r="C333" s="76" t="s">
        <v>389</v>
      </c>
      <c r="D333" s="77" t="s">
        <v>150</v>
      </c>
      <c r="E333" s="78">
        <v>1.42</v>
      </c>
    </row>
    <row r="334" spans="2:5" ht="15" customHeight="1" x14ac:dyDescent="0.2">
      <c r="B334" s="75" t="s">
        <v>327</v>
      </c>
      <c r="C334" s="76" t="s">
        <v>377</v>
      </c>
      <c r="D334" s="77" t="s">
        <v>378</v>
      </c>
      <c r="E334" s="78">
        <v>1.47</v>
      </c>
    </row>
    <row r="335" spans="2:5" ht="15" customHeight="1" x14ac:dyDescent="0.2">
      <c r="B335" s="75" t="s">
        <v>327</v>
      </c>
      <c r="C335" s="76" t="s">
        <v>156</v>
      </c>
      <c r="D335" s="77" t="s">
        <v>399</v>
      </c>
      <c r="E335" s="78">
        <v>1.19</v>
      </c>
    </row>
    <row r="336" spans="2:5" ht="15" customHeight="1" x14ac:dyDescent="0.2">
      <c r="B336" s="75" t="s">
        <v>329</v>
      </c>
      <c r="C336" s="76" t="s">
        <v>390</v>
      </c>
      <c r="D336" s="77" t="s">
        <v>158</v>
      </c>
      <c r="E336" s="78">
        <v>1.5</v>
      </c>
    </row>
    <row r="337" spans="2:5" ht="15" customHeight="1" x14ac:dyDescent="0.2">
      <c r="B337" s="75" t="s">
        <v>329</v>
      </c>
      <c r="C337" s="76" t="s">
        <v>164</v>
      </c>
      <c r="D337" s="77" t="s">
        <v>150</v>
      </c>
      <c r="E337" s="78">
        <v>1.52</v>
      </c>
    </row>
    <row r="338" spans="2:5" ht="15" customHeight="1" x14ac:dyDescent="0.2">
      <c r="B338" s="75" t="s">
        <v>329</v>
      </c>
      <c r="C338" s="76" t="s">
        <v>379</v>
      </c>
      <c r="D338" s="77" t="s">
        <v>122</v>
      </c>
      <c r="E338" s="78">
        <v>1.27</v>
      </c>
    </row>
    <row r="339" spans="2:5" ht="15" customHeight="1" x14ac:dyDescent="0.2">
      <c r="B339" s="75" t="s">
        <v>330</v>
      </c>
      <c r="C339" s="76" t="s">
        <v>381</v>
      </c>
      <c r="D339" s="77" t="s">
        <v>382</v>
      </c>
      <c r="E339" s="78">
        <v>1.27</v>
      </c>
    </row>
    <row r="340" spans="2:5" ht="15" customHeight="1" x14ac:dyDescent="0.2">
      <c r="B340" s="75" t="s">
        <v>332</v>
      </c>
      <c r="C340" s="76" t="s">
        <v>174</v>
      </c>
      <c r="D340" s="77" t="s">
        <v>173</v>
      </c>
      <c r="E340" s="78">
        <v>1.47</v>
      </c>
    </row>
    <row r="341" spans="2:5" ht="15" customHeight="1" x14ac:dyDescent="0.2">
      <c r="B341" s="75" t="s">
        <v>332</v>
      </c>
      <c r="C341" s="76" t="s">
        <v>384</v>
      </c>
      <c r="D341" s="77" t="s">
        <v>378</v>
      </c>
      <c r="E341" s="78">
        <v>1.3</v>
      </c>
    </row>
    <row r="342" spans="2:5" ht="15" customHeight="1" x14ac:dyDescent="0.2">
      <c r="B342" s="75" t="s">
        <v>333</v>
      </c>
      <c r="C342" s="76" t="s">
        <v>385</v>
      </c>
      <c r="D342" s="77" t="s">
        <v>142</v>
      </c>
      <c r="E342" s="78">
        <v>1.2</v>
      </c>
    </row>
    <row r="343" spans="2:5" ht="15" customHeight="1" x14ac:dyDescent="0.2">
      <c r="B343" s="75" t="s">
        <v>333</v>
      </c>
      <c r="C343" s="76" t="s">
        <v>386</v>
      </c>
      <c r="D343" s="77" t="s">
        <v>118</v>
      </c>
      <c r="E343" s="78">
        <v>1.2</v>
      </c>
    </row>
  </sheetData>
  <mergeCells count="19">
    <mergeCell ref="B2:E2"/>
    <mergeCell ref="B117:E117"/>
    <mergeCell ref="B99:E99"/>
    <mergeCell ref="B60:E60"/>
    <mergeCell ref="B23:E23"/>
    <mergeCell ref="B325:E325"/>
    <mergeCell ref="B79:E79"/>
    <mergeCell ref="B268:E268"/>
    <mergeCell ref="B41:E41"/>
    <mergeCell ref="B4:E4"/>
    <mergeCell ref="B137:E137"/>
    <mergeCell ref="B252:E252"/>
    <mergeCell ref="B232:E232"/>
    <mergeCell ref="B176:E176"/>
    <mergeCell ref="B214:E214"/>
    <mergeCell ref="B157:E157"/>
    <mergeCell ref="B196:E196"/>
    <mergeCell ref="B308:E308"/>
    <mergeCell ref="B288:E288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V38"/>
  <sheetViews>
    <sheetView showGridLines="0" zoomScale="142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8" sqref="E8"/>
    </sheetView>
  </sheetViews>
  <sheetFormatPr baseColWidth="10" defaultColWidth="8.6640625" defaultRowHeight="15" x14ac:dyDescent="0.2"/>
  <cols>
    <col min="1" max="1" width="2" customWidth="1"/>
    <col min="2" max="2" width="8" customWidth="1"/>
    <col min="3" max="3" width="26" customWidth="1"/>
    <col min="4" max="4" width="20" customWidth="1"/>
    <col min="5" max="5" width="4.1640625" customWidth="1"/>
  </cols>
  <sheetData>
    <row r="2" spans="2:22" ht="24" customHeight="1" x14ac:dyDescent="0.2">
      <c r="B2" s="189" t="s">
        <v>415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</row>
    <row r="3" spans="2:22" ht="21.75" customHeight="1" x14ac:dyDescent="0.2">
      <c r="B3" s="170" t="s">
        <v>416</v>
      </c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</row>
    <row r="5" spans="2:22" ht="18" customHeight="1" x14ac:dyDescent="0.2">
      <c r="B5" s="74" t="s">
        <v>310</v>
      </c>
      <c r="C5" s="74" t="s">
        <v>104</v>
      </c>
      <c r="D5" s="74" t="s">
        <v>372</v>
      </c>
      <c r="E5" s="74">
        <v>1</v>
      </c>
      <c r="F5" s="74">
        <v>2</v>
      </c>
      <c r="G5" s="74">
        <v>3</v>
      </c>
      <c r="H5" s="74">
        <v>4</v>
      </c>
      <c r="I5" s="74">
        <v>5</v>
      </c>
      <c r="J5" s="74">
        <v>6</v>
      </c>
      <c r="K5" s="74">
        <v>7</v>
      </c>
      <c r="L5" s="74">
        <v>8</v>
      </c>
      <c r="M5" s="74">
        <v>9</v>
      </c>
      <c r="N5" s="74">
        <v>10</v>
      </c>
      <c r="O5" s="74">
        <v>11</v>
      </c>
      <c r="P5" s="74">
        <v>12</v>
      </c>
      <c r="Q5" s="74">
        <v>13</v>
      </c>
      <c r="R5" s="74">
        <v>14</v>
      </c>
      <c r="S5" s="74">
        <v>15</v>
      </c>
      <c r="T5" s="74">
        <v>16</v>
      </c>
      <c r="U5" s="74">
        <v>17</v>
      </c>
      <c r="V5" s="74">
        <v>18</v>
      </c>
    </row>
    <row r="6" spans="2:22" ht="15" customHeight="1" x14ac:dyDescent="0.2">
      <c r="B6" s="79" t="s">
        <v>318</v>
      </c>
      <c r="C6" s="80" t="s">
        <v>373</v>
      </c>
      <c r="D6" s="81" t="s">
        <v>374</v>
      </c>
      <c r="E6" s="82" t="s">
        <v>417</v>
      </c>
      <c r="F6" s="83"/>
      <c r="G6" s="83"/>
      <c r="H6" s="82" t="s">
        <v>417</v>
      </c>
      <c r="I6" s="82" t="s">
        <v>417</v>
      </c>
      <c r="J6" s="83"/>
      <c r="K6" s="82" t="s">
        <v>417</v>
      </c>
      <c r="L6" s="83"/>
      <c r="M6" s="82" t="s">
        <v>417</v>
      </c>
      <c r="N6" s="82" t="s">
        <v>417</v>
      </c>
      <c r="O6" s="82" t="s">
        <v>417</v>
      </c>
      <c r="P6" s="82" t="s">
        <v>417</v>
      </c>
      <c r="Q6" s="82" t="s">
        <v>417</v>
      </c>
      <c r="R6" s="82" t="s">
        <v>417</v>
      </c>
      <c r="S6" s="83"/>
      <c r="T6" s="82" t="s">
        <v>417</v>
      </c>
      <c r="U6" s="83"/>
      <c r="V6" s="83"/>
    </row>
    <row r="7" spans="2:22" ht="15" customHeight="1" x14ac:dyDescent="0.2">
      <c r="B7" s="79" t="s">
        <v>319</v>
      </c>
      <c r="C7" s="80" t="s">
        <v>109</v>
      </c>
      <c r="D7" s="81" t="s">
        <v>108</v>
      </c>
      <c r="E7" s="82" t="s">
        <v>417</v>
      </c>
      <c r="F7" s="82" t="s">
        <v>417</v>
      </c>
      <c r="G7" s="82" t="s">
        <v>417</v>
      </c>
      <c r="H7" s="83"/>
      <c r="I7" s="83"/>
      <c r="J7" s="83"/>
      <c r="K7" s="82" t="s">
        <v>417</v>
      </c>
      <c r="L7" s="83"/>
      <c r="M7" s="83"/>
      <c r="N7" s="83"/>
      <c r="O7" s="82" t="s">
        <v>417</v>
      </c>
      <c r="P7" s="83"/>
      <c r="Q7" s="82" t="s">
        <v>417</v>
      </c>
      <c r="R7" s="83"/>
      <c r="S7" s="82" t="s">
        <v>417</v>
      </c>
      <c r="T7" s="82" t="s">
        <v>417</v>
      </c>
      <c r="U7" s="83"/>
      <c r="V7" s="82" t="s">
        <v>417</v>
      </c>
    </row>
    <row r="8" spans="2:22" ht="15" customHeight="1" x14ac:dyDescent="0.2">
      <c r="B8" s="79" t="s">
        <v>319</v>
      </c>
      <c r="C8" s="80" t="s">
        <v>375</v>
      </c>
      <c r="D8" s="81" t="s">
        <v>376</v>
      </c>
      <c r="E8" s="82" t="s">
        <v>417</v>
      </c>
      <c r="F8" s="82" t="s">
        <v>417</v>
      </c>
      <c r="G8" s="82" t="s">
        <v>417</v>
      </c>
      <c r="H8" s="83"/>
      <c r="I8" s="82" t="s">
        <v>417</v>
      </c>
      <c r="J8" s="82" t="s">
        <v>417</v>
      </c>
      <c r="K8" s="82" t="s">
        <v>417</v>
      </c>
      <c r="L8" s="82" t="s">
        <v>417</v>
      </c>
      <c r="M8" s="82" t="s">
        <v>417</v>
      </c>
      <c r="N8" s="83"/>
      <c r="O8" s="83"/>
      <c r="P8" s="82" t="s">
        <v>417</v>
      </c>
      <c r="Q8" s="83"/>
      <c r="R8" s="82" t="s">
        <v>417</v>
      </c>
      <c r="S8" s="83"/>
      <c r="T8" s="82" t="s">
        <v>417</v>
      </c>
      <c r="U8" s="82" t="s">
        <v>417</v>
      </c>
      <c r="V8" s="82" t="s">
        <v>417</v>
      </c>
    </row>
    <row r="9" spans="2:22" ht="15" customHeight="1" x14ac:dyDescent="0.2">
      <c r="B9" s="79" t="s">
        <v>320</v>
      </c>
      <c r="C9" s="80" t="s">
        <v>113</v>
      </c>
      <c r="D9" s="81" t="s">
        <v>112</v>
      </c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2" t="s">
        <v>417</v>
      </c>
      <c r="Q9" s="82" t="s">
        <v>417</v>
      </c>
      <c r="R9" s="83"/>
      <c r="S9" s="83"/>
      <c r="T9" s="83"/>
      <c r="U9" s="83"/>
      <c r="V9" s="83"/>
    </row>
    <row r="10" spans="2:22" ht="15" customHeight="1" x14ac:dyDescent="0.2">
      <c r="B10" s="79" t="s">
        <v>321</v>
      </c>
      <c r="C10" s="80" t="s">
        <v>392</v>
      </c>
      <c r="D10" s="81" t="s">
        <v>393</v>
      </c>
      <c r="E10" s="83"/>
      <c r="F10" s="83"/>
      <c r="G10" s="82" t="s">
        <v>417</v>
      </c>
      <c r="H10" s="83"/>
      <c r="I10" s="83"/>
      <c r="J10" s="83"/>
      <c r="K10" s="82" t="s">
        <v>417</v>
      </c>
      <c r="L10" s="82" t="s">
        <v>417</v>
      </c>
      <c r="M10" s="83"/>
      <c r="N10" s="83"/>
      <c r="O10" s="83"/>
      <c r="P10" s="83"/>
      <c r="Q10" s="82" t="s">
        <v>417</v>
      </c>
      <c r="R10" s="83"/>
      <c r="S10" s="83"/>
      <c r="T10" s="83"/>
      <c r="U10" s="83"/>
      <c r="V10" s="83"/>
    </row>
    <row r="11" spans="2:22" ht="15" customHeight="1" x14ac:dyDescent="0.2">
      <c r="B11" s="79" t="s">
        <v>321</v>
      </c>
      <c r="C11" s="80" t="s">
        <v>183</v>
      </c>
      <c r="D11" s="81" t="s">
        <v>182</v>
      </c>
      <c r="E11" s="83"/>
      <c r="F11" s="82" t="s">
        <v>417</v>
      </c>
      <c r="G11" s="82" t="s">
        <v>417</v>
      </c>
      <c r="H11" s="82" t="s">
        <v>417</v>
      </c>
      <c r="I11" s="82" t="s">
        <v>417</v>
      </c>
      <c r="J11" s="83"/>
      <c r="K11" s="83"/>
      <c r="L11" s="82" t="s">
        <v>417</v>
      </c>
      <c r="M11" s="83"/>
      <c r="N11" s="82" t="s">
        <v>417</v>
      </c>
      <c r="O11" s="83"/>
      <c r="P11" s="82" t="s">
        <v>417</v>
      </c>
      <c r="Q11" s="83"/>
      <c r="R11" s="82" t="s">
        <v>417</v>
      </c>
      <c r="S11" s="82" t="s">
        <v>417</v>
      </c>
      <c r="T11" s="82" t="s">
        <v>417</v>
      </c>
      <c r="U11" s="82" t="s">
        <v>417</v>
      </c>
      <c r="V11" s="83"/>
    </row>
    <row r="12" spans="2:22" ht="15" customHeight="1" x14ac:dyDescent="0.2">
      <c r="B12" s="79" t="s">
        <v>322</v>
      </c>
      <c r="C12" s="80" t="s">
        <v>176</v>
      </c>
      <c r="D12" s="81" t="s">
        <v>134</v>
      </c>
      <c r="E12" s="83"/>
      <c r="F12" s="83"/>
      <c r="G12" s="83"/>
      <c r="H12" s="83"/>
      <c r="I12" s="82" t="s">
        <v>417</v>
      </c>
      <c r="J12" s="82" t="s">
        <v>417</v>
      </c>
      <c r="K12" s="83"/>
      <c r="L12" s="82" t="s">
        <v>417</v>
      </c>
      <c r="M12" s="82" t="s">
        <v>417</v>
      </c>
      <c r="N12" s="82" t="s">
        <v>417</v>
      </c>
      <c r="O12" s="82" t="s">
        <v>417</v>
      </c>
      <c r="P12" s="83"/>
      <c r="Q12" s="83"/>
      <c r="R12" s="82" t="s">
        <v>417</v>
      </c>
      <c r="S12" s="82" t="s">
        <v>417</v>
      </c>
      <c r="T12" s="83"/>
      <c r="U12" s="82" t="s">
        <v>417</v>
      </c>
      <c r="V12" s="82" t="s">
        <v>417</v>
      </c>
    </row>
    <row r="13" spans="2:22" ht="15" customHeight="1" x14ac:dyDescent="0.2">
      <c r="B13" s="79" t="s">
        <v>322</v>
      </c>
      <c r="C13" s="80" t="s">
        <v>117</v>
      </c>
      <c r="D13" s="81" t="s">
        <v>116</v>
      </c>
      <c r="E13" s="83"/>
      <c r="F13" s="82" t="s">
        <v>417</v>
      </c>
      <c r="G13" s="83"/>
      <c r="H13" s="82" t="s">
        <v>417</v>
      </c>
      <c r="I13" s="83"/>
      <c r="J13" s="82" t="s">
        <v>417</v>
      </c>
      <c r="K13" s="82" t="s">
        <v>417</v>
      </c>
      <c r="L13" s="82" t="s">
        <v>417</v>
      </c>
      <c r="M13" s="83"/>
      <c r="N13" s="82" t="s">
        <v>417</v>
      </c>
      <c r="O13" s="83"/>
      <c r="P13" s="82" t="s">
        <v>417</v>
      </c>
      <c r="Q13" s="83"/>
      <c r="R13" s="83"/>
      <c r="S13" s="83"/>
      <c r="T13" s="83"/>
      <c r="U13" s="83"/>
      <c r="V13" s="82" t="s">
        <v>417</v>
      </c>
    </row>
    <row r="14" spans="2:22" ht="15" customHeight="1" x14ac:dyDescent="0.2">
      <c r="B14" s="79" t="s">
        <v>322</v>
      </c>
      <c r="C14" s="80" t="s">
        <v>388</v>
      </c>
      <c r="D14" s="81" t="s">
        <v>120</v>
      </c>
      <c r="E14" s="83"/>
      <c r="F14" s="82" t="s">
        <v>417</v>
      </c>
      <c r="G14" s="82" t="s">
        <v>417</v>
      </c>
      <c r="H14" s="82" t="s">
        <v>417</v>
      </c>
      <c r="I14" s="83"/>
      <c r="J14" s="82" t="s">
        <v>417</v>
      </c>
      <c r="K14" s="83"/>
      <c r="L14" s="83"/>
      <c r="M14" s="82" t="s">
        <v>417</v>
      </c>
      <c r="N14" s="82" t="s">
        <v>417</v>
      </c>
      <c r="O14" s="83"/>
      <c r="P14" s="82" t="s">
        <v>417</v>
      </c>
      <c r="Q14" s="82" t="s">
        <v>417</v>
      </c>
      <c r="R14" s="82" t="s">
        <v>417</v>
      </c>
      <c r="S14" s="82" t="s">
        <v>417</v>
      </c>
      <c r="T14" s="83"/>
      <c r="U14" s="83"/>
      <c r="V14" s="83"/>
    </row>
    <row r="15" spans="2:22" ht="15" customHeight="1" x14ac:dyDescent="0.2">
      <c r="B15" s="79" t="s">
        <v>323</v>
      </c>
      <c r="C15" s="80" t="s">
        <v>123</v>
      </c>
      <c r="D15" s="81" t="s">
        <v>122</v>
      </c>
      <c r="E15" s="82" t="s">
        <v>417</v>
      </c>
      <c r="F15" s="82" t="s">
        <v>417</v>
      </c>
      <c r="G15" s="83"/>
      <c r="H15" s="83"/>
      <c r="I15" s="83"/>
      <c r="J15" s="82" t="s">
        <v>417</v>
      </c>
      <c r="K15" s="83"/>
      <c r="L15" s="83"/>
      <c r="M15" s="82" t="s">
        <v>417</v>
      </c>
      <c r="N15" s="83"/>
      <c r="O15" s="83"/>
      <c r="P15" s="83"/>
      <c r="Q15" s="82" t="s">
        <v>417</v>
      </c>
      <c r="R15" s="83"/>
      <c r="S15" s="83"/>
      <c r="T15" s="82" t="s">
        <v>417</v>
      </c>
      <c r="U15" s="82" t="s">
        <v>417</v>
      </c>
      <c r="V15" s="82" t="s">
        <v>417</v>
      </c>
    </row>
    <row r="16" spans="2:22" ht="15" customHeight="1" x14ac:dyDescent="0.2">
      <c r="B16" s="79" t="s">
        <v>323</v>
      </c>
      <c r="C16" s="80" t="s">
        <v>394</v>
      </c>
      <c r="D16" s="81" t="s">
        <v>395</v>
      </c>
      <c r="E16" s="83"/>
      <c r="F16" s="83"/>
      <c r="G16" s="82" t="s">
        <v>417</v>
      </c>
      <c r="H16" s="82" t="s">
        <v>417</v>
      </c>
      <c r="I16" s="83"/>
      <c r="J16" s="82" t="s">
        <v>417</v>
      </c>
      <c r="K16" s="82" t="s">
        <v>417</v>
      </c>
      <c r="L16" s="82" t="s">
        <v>417</v>
      </c>
      <c r="M16" s="83"/>
      <c r="N16" s="82" t="s">
        <v>417</v>
      </c>
      <c r="O16" s="82" t="s">
        <v>417</v>
      </c>
      <c r="P16" s="82" t="s">
        <v>417</v>
      </c>
      <c r="Q16" s="83"/>
      <c r="R16" s="83"/>
      <c r="S16" s="82" t="s">
        <v>417</v>
      </c>
      <c r="T16" s="82" t="s">
        <v>417</v>
      </c>
      <c r="U16" s="83"/>
      <c r="V16" s="82" t="s">
        <v>417</v>
      </c>
    </row>
    <row r="17" spans="2:22" ht="15" customHeight="1" x14ac:dyDescent="0.2">
      <c r="B17" s="79" t="s">
        <v>323</v>
      </c>
      <c r="C17" s="80" t="s">
        <v>389</v>
      </c>
      <c r="D17" s="81" t="s">
        <v>150</v>
      </c>
      <c r="E17" s="83"/>
      <c r="F17" s="82" t="s">
        <v>417</v>
      </c>
      <c r="G17" s="83"/>
      <c r="H17" s="83"/>
      <c r="I17" s="83"/>
      <c r="J17" s="83"/>
      <c r="K17" s="82" t="s">
        <v>417</v>
      </c>
      <c r="L17" s="83"/>
      <c r="M17" s="82" t="s">
        <v>417</v>
      </c>
      <c r="N17" s="83"/>
      <c r="O17" s="82" t="s">
        <v>417</v>
      </c>
      <c r="P17" s="82" t="s">
        <v>417</v>
      </c>
      <c r="Q17" s="82" t="s">
        <v>417</v>
      </c>
      <c r="R17" s="83"/>
      <c r="S17" s="82" t="s">
        <v>417</v>
      </c>
      <c r="T17" s="83"/>
      <c r="U17" s="82" t="s">
        <v>417</v>
      </c>
      <c r="V17" s="82" t="s">
        <v>417</v>
      </c>
    </row>
    <row r="18" spans="2:22" ht="15" customHeight="1" x14ac:dyDescent="0.2">
      <c r="B18" s="79" t="s">
        <v>324</v>
      </c>
      <c r="C18" s="80" t="s">
        <v>396</v>
      </c>
      <c r="D18" s="81" t="s">
        <v>397</v>
      </c>
      <c r="E18" s="83"/>
      <c r="F18" s="83"/>
      <c r="G18" s="82" t="s">
        <v>417</v>
      </c>
      <c r="H18" s="83"/>
      <c r="I18" s="82" t="s">
        <v>417</v>
      </c>
      <c r="J18" s="83"/>
      <c r="K18" s="82" t="s">
        <v>417</v>
      </c>
      <c r="L18" s="82" t="s">
        <v>417</v>
      </c>
      <c r="M18" s="83"/>
      <c r="N18" s="83"/>
      <c r="O18" s="83"/>
      <c r="P18" s="82" t="s">
        <v>417</v>
      </c>
      <c r="Q18" s="82" t="s">
        <v>417</v>
      </c>
      <c r="R18" s="83"/>
      <c r="S18" s="83"/>
      <c r="T18" s="83"/>
      <c r="U18" s="82" t="s">
        <v>417</v>
      </c>
      <c r="V18" s="83"/>
    </row>
    <row r="19" spans="2:22" ht="15" customHeight="1" x14ac:dyDescent="0.2">
      <c r="B19" s="79" t="s">
        <v>325</v>
      </c>
      <c r="C19" s="80" t="s">
        <v>152</v>
      </c>
      <c r="D19" s="81" t="s">
        <v>138</v>
      </c>
      <c r="E19" s="82" t="s">
        <v>417</v>
      </c>
      <c r="F19" s="82" t="s">
        <v>417</v>
      </c>
      <c r="G19" s="82" t="s">
        <v>417</v>
      </c>
      <c r="H19" s="82" t="s">
        <v>417</v>
      </c>
      <c r="I19" s="83"/>
      <c r="J19" s="82" t="s">
        <v>417</v>
      </c>
      <c r="K19" s="82" t="s">
        <v>417</v>
      </c>
      <c r="L19" s="82" t="s">
        <v>417</v>
      </c>
      <c r="M19" s="83"/>
      <c r="N19" s="83"/>
      <c r="O19" s="82" t="s">
        <v>417</v>
      </c>
      <c r="P19" s="82" t="s">
        <v>417</v>
      </c>
      <c r="Q19" s="82" t="s">
        <v>417</v>
      </c>
      <c r="R19" s="82" t="s">
        <v>417</v>
      </c>
      <c r="S19" s="82" t="s">
        <v>417</v>
      </c>
      <c r="T19" s="83"/>
      <c r="U19" s="82" t="s">
        <v>417</v>
      </c>
      <c r="V19" s="83"/>
    </row>
    <row r="20" spans="2:22" ht="15" customHeight="1" x14ac:dyDescent="0.2">
      <c r="B20" s="79" t="s">
        <v>326</v>
      </c>
      <c r="C20" s="80" t="s">
        <v>133</v>
      </c>
      <c r="D20" s="81" t="s">
        <v>132</v>
      </c>
      <c r="E20" s="83"/>
      <c r="F20" s="82" t="s">
        <v>417</v>
      </c>
      <c r="G20" s="83"/>
      <c r="H20" s="82" t="s">
        <v>417</v>
      </c>
      <c r="I20" s="82" t="s">
        <v>417</v>
      </c>
      <c r="J20" s="83"/>
      <c r="K20" s="82" t="s">
        <v>417</v>
      </c>
      <c r="L20" s="82" t="s">
        <v>417</v>
      </c>
      <c r="M20" s="82" t="s">
        <v>417</v>
      </c>
      <c r="N20" s="82" t="s">
        <v>417</v>
      </c>
      <c r="O20" s="82" t="s">
        <v>417</v>
      </c>
      <c r="P20" s="83"/>
      <c r="Q20" s="83"/>
      <c r="R20" s="83"/>
      <c r="S20" s="83"/>
      <c r="T20" s="82" t="s">
        <v>417</v>
      </c>
      <c r="U20" s="83"/>
      <c r="V20" s="83"/>
    </row>
    <row r="21" spans="2:22" ht="15" customHeight="1" x14ac:dyDescent="0.2">
      <c r="B21" s="79" t="s">
        <v>327</v>
      </c>
      <c r="C21" s="80" t="s">
        <v>403</v>
      </c>
      <c r="D21" s="81" t="s">
        <v>393</v>
      </c>
      <c r="E21" s="83"/>
      <c r="F21" s="83"/>
      <c r="G21" s="83"/>
      <c r="H21" s="83"/>
      <c r="I21" s="83"/>
      <c r="J21" s="83"/>
      <c r="K21" s="82" t="s">
        <v>417</v>
      </c>
      <c r="L21" s="83"/>
      <c r="M21" s="83"/>
      <c r="N21" s="83"/>
      <c r="O21" s="83"/>
      <c r="P21" s="83"/>
      <c r="Q21" s="83"/>
      <c r="R21" s="83"/>
      <c r="S21" s="82" t="s">
        <v>417</v>
      </c>
      <c r="T21" s="82" t="s">
        <v>417</v>
      </c>
      <c r="U21" s="83"/>
      <c r="V21" s="83"/>
    </row>
    <row r="22" spans="2:22" ht="15" customHeight="1" x14ac:dyDescent="0.2">
      <c r="B22" s="79" t="s">
        <v>327</v>
      </c>
      <c r="C22" s="80" t="s">
        <v>377</v>
      </c>
      <c r="D22" s="81" t="s">
        <v>378</v>
      </c>
      <c r="E22" s="82" t="s">
        <v>417</v>
      </c>
      <c r="F22" s="82" t="s">
        <v>417</v>
      </c>
      <c r="G22" s="82" t="s">
        <v>417</v>
      </c>
      <c r="H22" s="82" t="s">
        <v>417</v>
      </c>
      <c r="I22" s="83"/>
      <c r="J22" s="82" t="s">
        <v>417</v>
      </c>
      <c r="K22" s="83"/>
      <c r="L22" s="83"/>
      <c r="M22" s="82" t="s">
        <v>417</v>
      </c>
      <c r="N22" s="82" t="s">
        <v>417</v>
      </c>
      <c r="O22" s="83"/>
      <c r="P22" s="83"/>
      <c r="Q22" s="82" t="s">
        <v>417</v>
      </c>
      <c r="R22" s="82" t="s">
        <v>417</v>
      </c>
      <c r="S22" s="83"/>
      <c r="T22" s="82" t="s">
        <v>417</v>
      </c>
      <c r="U22" s="82" t="s">
        <v>417</v>
      </c>
      <c r="V22" s="82" t="s">
        <v>417</v>
      </c>
    </row>
    <row r="23" spans="2:22" ht="15" customHeight="1" x14ac:dyDescent="0.2">
      <c r="B23" s="79" t="s">
        <v>327</v>
      </c>
      <c r="C23" s="80" t="s">
        <v>186</v>
      </c>
      <c r="D23" s="81" t="s">
        <v>182</v>
      </c>
      <c r="E23" s="82" t="s">
        <v>417</v>
      </c>
      <c r="F23" s="83"/>
      <c r="G23" s="83"/>
      <c r="H23" s="82" t="s">
        <v>417</v>
      </c>
      <c r="I23" s="83"/>
      <c r="J23" s="83"/>
      <c r="K23" s="82" t="s">
        <v>417</v>
      </c>
      <c r="L23" s="83"/>
      <c r="M23" s="82" t="s">
        <v>417</v>
      </c>
      <c r="N23" s="82" t="s">
        <v>417</v>
      </c>
      <c r="O23" s="83"/>
      <c r="P23" s="82" t="s">
        <v>417</v>
      </c>
      <c r="Q23" s="82" t="s">
        <v>417</v>
      </c>
      <c r="R23" s="82" t="s">
        <v>417</v>
      </c>
      <c r="S23" s="82" t="s">
        <v>417</v>
      </c>
      <c r="T23" s="82" t="s">
        <v>417</v>
      </c>
      <c r="U23" s="82" t="s">
        <v>417</v>
      </c>
      <c r="V23" s="83"/>
    </row>
    <row r="24" spans="2:22" ht="15" customHeight="1" x14ac:dyDescent="0.2">
      <c r="B24" s="79" t="s">
        <v>327</v>
      </c>
      <c r="C24" s="80" t="s">
        <v>156</v>
      </c>
      <c r="D24" s="81" t="s">
        <v>399</v>
      </c>
      <c r="E24" s="83"/>
      <c r="F24" s="83"/>
      <c r="G24" s="83"/>
      <c r="H24" s="82" t="s">
        <v>417</v>
      </c>
      <c r="I24" s="82" t="s">
        <v>417</v>
      </c>
      <c r="J24" s="83"/>
      <c r="K24" s="83"/>
      <c r="L24" s="82" t="s">
        <v>417</v>
      </c>
      <c r="M24" s="83"/>
      <c r="N24" s="83"/>
      <c r="O24" s="83"/>
      <c r="P24" s="83"/>
      <c r="Q24" s="83"/>
      <c r="R24" s="83"/>
      <c r="S24" s="82" t="s">
        <v>417</v>
      </c>
      <c r="T24" s="83"/>
      <c r="U24" s="83"/>
      <c r="V24" s="82" t="s">
        <v>417</v>
      </c>
    </row>
    <row r="25" spans="2:22" ht="15" customHeight="1" x14ac:dyDescent="0.2">
      <c r="B25" s="79" t="s">
        <v>328</v>
      </c>
      <c r="C25" s="80" t="s">
        <v>135</v>
      </c>
      <c r="D25" s="81" t="s">
        <v>134</v>
      </c>
      <c r="E25" s="83"/>
      <c r="F25" s="83"/>
      <c r="G25" s="82" t="s">
        <v>417</v>
      </c>
      <c r="H25" s="83"/>
      <c r="I25" s="83"/>
      <c r="J25" s="83"/>
      <c r="K25" s="83"/>
      <c r="L25" s="83"/>
      <c r="M25" s="82" t="s">
        <v>417</v>
      </c>
      <c r="N25" s="82" t="s">
        <v>417</v>
      </c>
      <c r="O25" s="83"/>
      <c r="P25" s="83"/>
      <c r="Q25" s="83"/>
      <c r="R25" s="82" t="s">
        <v>417</v>
      </c>
      <c r="S25" s="82" t="s">
        <v>417</v>
      </c>
      <c r="T25" s="83"/>
      <c r="U25" s="83"/>
      <c r="V25" s="83"/>
    </row>
    <row r="26" spans="2:22" ht="15" customHeight="1" x14ac:dyDescent="0.2">
      <c r="B26" s="79" t="s">
        <v>329</v>
      </c>
      <c r="C26" s="80" t="s">
        <v>379</v>
      </c>
      <c r="D26" s="81" t="s">
        <v>122</v>
      </c>
      <c r="E26" s="82" t="s">
        <v>417</v>
      </c>
      <c r="F26" s="83"/>
      <c r="G26" s="83"/>
      <c r="H26" s="82" t="s">
        <v>417</v>
      </c>
      <c r="I26" s="82" t="s">
        <v>417</v>
      </c>
      <c r="J26" s="83"/>
      <c r="K26" s="82" t="s">
        <v>417</v>
      </c>
      <c r="L26" s="82" t="s">
        <v>417</v>
      </c>
      <c r="M26" s="83"/>
      <c r="N26" s="82" t="s">
        <v>417</v>
      </c>
      <c r="O26" s="83"/>
      <c r="P26" s="82" t="s">
        <v>417</v>
      </c>
      <c r="Q26" s="82" t="s">
        <v>417</v>
      </c>
      <c r="R26" s="83"/>
      <c r="S26" s="83"/>
      <c r="T26" s="82" t="s">
        <v>417</v>
      </c>
      <c r="U26" s="82" t="s">
        <v>417</v>
      </c>
      <c r="V26" s="82" t="s">
        <v>417</v>
      </c>
    </row>
    <row r="27" spans="2:22" ht="15" customHeight="1" x14ac:dyDescent="0.2">
      <c r="B27" s="79" t="s">
        <v>329</v>
      </c>
      <c r="C27" s="80" t="s">
        <v>157</v>
      </c>
      <c r="D27" s="81" t="s">
        <v>142</v>
      </c>
      <c r="E27" s="83"/>
      <c r="F27" s="83"/>
      <c r="G27" s="82" t="s">
        <v>417</v>
      </c>
      <c r="H27" s="83"/>
      <c r="I27" s="82" t="s">
        <v>417</v>
      </c>
      <c r="J27" s="82" t="s">
        <v>417</v>
      </c>
      <c r="K27" s="83"/>
      <c r="L27" s="82" t="s">
        <v>417</v>
      </c>
      <c r="M27" s="82" t="s">
        <v>417</v>
      </c>
      <c r="N27" s="83"/>
      <c r="O27" s="82" t="s">
        <v>417</v>
      </c>
      <c r="P27" s="83"/>
      <c r="Q27" s="82" t="s">
        <v>417</v>
      </c>
      <c r="R27" s="83"/>
      <c r="S27" s="83"/>
      <c r="T27" s="82" t="s">
        <v>417</v>
      </c>
      <c r="U27" s="82" t="s">
        <v>417</v>
      </c>
      <c r="V27" s="83"/>
    </row>
    <row r="28" spans="2:22" ht="15" customHeight="1" x14ac:dyDescent="0.2">
      <c r="B28" s="79" t="s">
        <v>329</v>
      </c>
      <c r="C28" s="80" t="s">
        <v>390</v>
      </c>
      <c r="D28" s="81" t="s">
        <v>158</v>
      </c>
      <c r="E28" s="83"/>
      <c r="F28" s="82" t="s">
        <v>417</v>
      </c>
      <c r="G28" s="83"/>
      <c r="H28" s="83"/>
      <c r="I28" s="82" t="s">
        <v>417</v>
      </c>
      <c r="J28" s="82" t="s">
        <v>417</v>
      </c>
      <c r="K28" s="83"/>
      <c r="L28" s="83"/>
      <c r="M28" s="83"/>
      <c r="N28" s="82" t="s">
        <v>417</v>
      </c>
      <c r="O28" s="82" t="s">
        <v>417</v>
      </c>
      <c r="P28" s="82" t="s">
        <v>417</v>
      </c>
      <c r="Q28" s="82" t="s">
        <v>417</v>
      </c>
      <c r="R28" s="82" t="s">
        <v>417</v>
      </c>
      <c r="S28" s="82" t="s">
        <v>417</v>
      </c>
      <c r="T28" s="82" t="s">
        <v>417</v>
      </c>
      <c r="U28" s="83"/>
      <c r="V28" s="82" t="s">
        <v>417</v>
      </c>
    </row>
    <row r="29" spans="2:22" ht="15" customHeight="1" x14ac:dyDescent="0.2">
      <c r="B29" s="79" t="s">
        <v>329</v>
      </c>
      <c r="C29" s="80" t="s">
        <v>164</v>
      </c>
      <c r="D29" s="81" t="s">
        <v>150</v>
      </c>
      <c r="E29" s="83"/>
      <c r="F29" s="83"/>
      <c r="G29" s="82" t="s">
        <v>417</v>
      </c>
      <c r="H29" s="82" t="s">
        <v>417</v>
      </c>
      <c r="I29" s="82" t="s">
        <v>417</v>
      </c>
      <c r="J29" s="82" t="s">
        <v>417</v>
      </c>
      <c r="K29" s="83"/>
      <c r="L29" s="83"/>
      <c r="M29" s="82" t="s">
        <v>417</v>
      </c>
      <c r="N29" s="82" t="s">
        <v>417</v>
      </c>
      <c r="O29" s="82" t="s">
        <v>417</v>
      </c>
      <c r="P29" s="82" t="s">
        <v>417</v>
      </c>
      <c r="Q29" s="83"/>
      <c r="R29" s="82" t="s">
        <v>417</v>
      </c>
      <c r="S29" s="83"/>
      <c r="T29" s="83"/>
      <c r="U29" s="82" t="s">
        <v>417</v>
      </c>
      <c r="V29" s="82" t="s">
        <v>417</v>
      </c>
    </row>
    <row r="30" spans="2:22" ht="15" customHeight="1" x14ac:dyDescent="0.2">
      <c r="B30" s="79" t="s">
        <v>330</v>
      </c>
      <c r="C30" s="80" t="s">
        <v>137</v>
      </c>
      <c r="D30" s="81" t="s">
        <v>130</v>
      </c>
      <c r="E30" s="82" t="s">
        <v>417</v>
      </c>
      <c r="F30" s="82" t="s">
        <v>417</v>
      </c>
      <c r="G30" s="82" t="s">
        <v>417</v>
      </c>
      <c r="H30" s="82" t="s">
        <v>417</v>
      </c>
      <c r="I30" s="82" t="s">
        <v>417</v>
      </c>
      <c r="J30" s="82" t="s">
        <v>417</v>
      </c>
      <c r="K30" s="83"/>
      <c r="L30" s="82" t="s">
        <v>417</v>
      </c>
      <c r="M30" s="82" t="s">
        <v>417</v>
      </c>
      <c r="N30" s="82" t="s">
        <v>417</v>
      </c>
      <c r="O30" s="82" t="s">
        <v>417</v>
      </c>
      <c r="P30" s="83"/>
      <c r="Q30" s="83"/>
      <c r="R30" s="83"/>
      <c r="S30" s="82" t="s">
        <v>417</v>
      </c>
      <c r="T30" s="82" t="s">
        <v>417</v>
      </c>
      <c r="U30" s="83"/>
      <c r="V30" s="83"/>
    </row>
    <row r="31" spans="2:22" ht="15" customHeight="1" x14ac:dyDescent="0.2">
      <c r="B31" s="79" t="s">
        <v>330</v>
      </c>
      <c r="C31" s="80" t="s">
        <v>380</v>
      </c>
      <c r="D31" s="81" t="s">
        <v>138</v>
      </c>
      <c r="E31" s="82" t="s">
        <v>417</v>
      </c>
      <c r="F31" s="82" t="s">
        <v>417</v>
      </c>
      <c r="G31" s="82" t="s">
        <v>417</v>
      </c>
      <c r="H31" s="83"/>
      <c r="I31" s="82" t="s">
        <v>417</v>
      </c>
      <c r="J31" s="83"/>
      <c r="K31" s="83"/>
      <c r="L31" s="83"/>
      <c r="M31" s="83"/>
      <c r="N31" s="82" t="s">
        <v>417</v>
      </c>
      <c r="O31" s="82" t="s">
        <v>417</v>
      </c>
      <c r="P31" s="82" t="s">
        <v>417</v>
      </c>
      <c r="Q31" s="83"/>
      <c r="R31" s="83"/>
      <c r="S31" s="82" t="s">
        <v>417</v>
      </c>
      <c r="T31" s="82" t="s">
        <v>417</v>
      </c>
      <c r="U31" s="83"/>
      <c r="V31" s="83"/>
    </row>
    <row r="32" spans="2:22" ht="15" customHeight="1" x14ac:dyDescent="0.2">
      <c r="B32" s="79" t="s">
        <v>330</v>
      </c>
      <c r="C32" s="80" t="s">
        <v>381</v>
      </c>
      <c r="D32" s="81" t="s">
        <v>382</v>
      </c>
      <c r="E32" s="82" t="s">
        <v>417</v>
      </c>
      <c r="F32" s="82" t="s">
        <v>417</v>
      </c>
      <c r="G32" s="83"/>
      <c r="H32" s="82" t="s">
        <v>417</v>
      </c>
      <c r="I32" s="83"/>
      <c r="J32" s="82" t="s">
        <v>417</v>
      </c>
      <c r="K32" s="82" t="s">
        <v>417</v>
      </c>
      <c r="L32" s="83"/>
      <c r="M32" s="82" t="s">
        <v>417</v>
      </c>
      <c r="N32" s="82" t="s">
        <v>417</v>
      </c>
      <c r="O32" s="83"/>
      <c r="P32" s="83"/>
      <c r="Q32" s="83"/>
      <c r="R32" s="83"/>
      <c r="S32" s="83"/>
      <c r="T32" s="82" t="s">
        <v>417</v>
      </c>
      <c r="U32" s="82" t="s">
        <v>417</v>
      </c>
      <c r="V32" s="82" t="s">
        <v>417</v>
      </c>
    </row>
    <row r="33" spans="2:22" ht="15" customHeight="1" x14ac:dyDescent="0.2">
      <c r="B33" s="79" t="s">
        <v>331</v>
      </c>
      <c r="C33" s="80" t="s">
        <v>168</v>
      </c>
      <c r="D33" s="81" t="s">
        <v>383</v>
      </c>
      <c r="E33" s="82" t="s">
        <v>417</v>
      </c>
      <c r="F33" s="83"/>
      <c r="G33" s="83"/>
      <c r="H33" s="83"/>
      <c r="I33" s="82" t="s">
        <v>417</v>
      </c>
      <c r="J33" s="82" t="s">
        <v>417</v>
      </c>
      <c r="K33" s="82" t="s">
        <v>417</v>
      </c>
      <c r="L33" s="82" t="s">
        <v>417</v>
      </c>
      <c r="M33" s="83"/>
      <c r="N33" s="83"/>
      <c r="O33" s="82" t="s">
        <v>417</v>
      </c>
      <c r="P33" s="83"/>
      <c r="Q33" s="82" t="s">
        <v>417</v>
      </c>
      <c r="R33" s="82" t="s">
        <v>417</v>
      </c>
      <c r="S33" s="82" t="s">
        <v>417</v>
      </c>
      <c r="T33" s="83"/>
      <c r="U33" s="83"/>
      <c r="V33" s="83"/>
    </row>
    <row r="34" spans="2:22" ht="15" customHeight="1" x14ac:dyDescent="0.2">
      <c r="B34" s="79" t="s">
        <v>332</v>
      </c>
      <c r="C34" s="80" t="s">
        <v>174</v>
      </c>
      <c r="D34" s="81" t="s">
        <v>173</v>
      </c>
      <c r="E34" s="82" t="s">
        <v>417</v>
      </c>
      <c r="F34" s="82" t="s">
        <v>417</v>
      </c>
      <c r="G34" s="82" t="s">
        <v>417</v>
      </c>
      <c r="H34" s="82" t="s">
        <v>417</v>
      </c>
      <c r="I34" s="83"/>
      <c r="J34" s="83"/>
      <c r="K34" s="82" t="s">
        <v>417</v>
      </c>
      <c r="L34" s="82" t="s">
        <v>417</v>
      </c>
      <c r="M34" s="82" t="s">
        <v>417</v>
      </c>
      <c r="N34" s="83"/>
      <c r="O34" s="82" t="s">
        <v>417</v>
      </c>
      <c r="P34" s="83"/>
      <c r="Q34" s="82" t="s">
        <v>417</v>
      </c>
      <c r="R34" s="82" t="s">
        <v>417</v>
      </c>
      <c r="S34" s="83"/>
      <c r="T34" s="83"/>
      <c r="U34" s="83"/>
      <c r="V34" s="82" t="s">
        <v>417</v>
      </c>
    </row>
    <row r="35" spans="2:22" ht="15" customHeight="1" x14ac:dyDescent="0.2">
      <c r="B35" s="79" t="s">
        <v>332</v>
      </c>
      <c r="C35" s="80" t="s">
        <v>384</v>
      </c>
      <c r="D35" s="81" t="s">
        <v>378</v>
      </c>
      <c r="E35" s="82" t="s">
        <v>417</v>
      </c>
      <c r="F35" s="83"/>
      <c r="G35" s="82" t="s">
        <v>417</v>
      </c>
      <c r="H35" s="83"/>
      <c r="I35" s="82" t="s">
        <v>417</v>
      </c>
      <c r="J35" s="83"/>
      <c r="K35" s="82" t="s">
        <v>417</v>
      </c>
      <c r="L35" s="83"/>
      <c r="M35" s="83"/>
      <c r="N35" s="82" t="s">
        <v>417</v>
      </c>
      <c r="O35" s="82" t="s">
        <v>417</v>
      </c>
      <c r="P35" s="83"/>
      <c r="Q35" s="83"/>
      <c r="R35" s="83"/>
      <c r="S35" s="82" t="s">
        <v>417</v>
      </c>
      <c r="T35" s="83"/>
      <c r="U35" s="82" t="s">
        <v>417</v>
      </c>
      <c r="V35" s="82" t="s">
        <v>417</v>
      </c>
    </row>
    <row r="36" spans="2:22" ht="15" customHeight="1" x14ac:dyDescent="0.2">
      <c r="B36" s="79" t="s">
        <v>333</v>
      </c>
      <c r="C36" s="80" t="s">
        <v>385</v>
      </c>
      <c r="D36" s="81" t="s">
        <v>142</v>
      </c>
      <c r="E36" s="82" t="s">
        <v>417</v>
      </c>
      <c r="F36" s="83"/>
      <c r="G36" s="83"/>
      <c r="H36" s="82" t="s">
        <v>417</v>
      </c>
      <c r="I36" s="82" t="s">
        <v>417</v>
      </c>
      <c r="J36" s="83"/>
      <c r="K36" s="83"/>
      <c r="L36" s="82" t="s">
        <v>417</v>
      </c>
      <c r="M36" s="83"/>
      <c r="N36" s="83"/>
      <c r="O36" s="83"/>
      <c r="P36" s="83"/>
      <c r="Q36" s="83"/>
      <c r="R36" s="83"/>
      <c r="S36" s="82" t="s">
        <v>417</v>
      </c>
      <c r="T36" s="82" t="s">
        <v>417</v>
      </c>
      <c r="U36" s="83"/>
      <c r="V36" s="82" t="s">
        <v>417</v>
      </c>
    </row>
    <row r="37" spans="2:22" ht="15" customHeight="1" x14ac:dyDescent="0.2">
      <c r="B37" s="79" t="s">
        <v>333</v>
      </c>
      <c r="C37" s="80" t="s">
        <v>386</v>
      </c>
      <c r="D37" s="81" t="s">
        <v>118</v>
      </c>
      <c r="E37" s="82" t="s">
        <v>417</v>
      </c>
      <c r="F37" s="83"/>
      <c r="G37" s="83"/>
      <c r="H37" s="83"/>
      <c r="I37" s="82" t="s">
        <v>417</v>
      </c>
      <c r="J37" s="82" t="s">
        <v>417</v>
      </c>
      <c r="K37" s="83"/>
      <c r="L37" s="82" t="s">
        <v>417</v>
      </c>
      <c r="M37" s="82" t="s">
        <v>417</v>
      </c>
      <c r="N37" s="83"/>
      <c r="O37" s="83"/>
      <c r="P37" s="83"/>
      <c r="Q37" s="82" t="s">
        <v>417</v>
      </c>
      <c r="R37" s="83"/>
      <c r="S37" s="83"/>
      <c r="T37" s="83"/>
      <c r="U37" s="83"/>
      <c r="V37" s="82" t="s">
        <v>417</v>
      </c>
    </row>
    <row r="38" spans="2:22" ht="15" customHeight="1" x14ac:dyDescent="0.2">
      <c r="D38" s="84" t="s">
        <v>418</v>
      </c>
      <c r="E38" s="85">
        <v>16</v>
      </c>
      <c r="F38" s="85">
        <v>15</v>
      </c>
      <c r="G38" s="85">
        <v>16</v>
      </c>
      <c r="H38" s="85">
        <v>16</v>
      </c>
      <c r="I38" s="85">
        <v>17</v>
      </c>
      <c r="J38" s="85">
        <v>15</v>
      </c>
      <c r="K38" s="85">
        <v>17</v>
      </c>
      <c r="L38" s="85">
        <v>17</v>
      </c>
      <c r="M38" s="85">
        <v>16</v>
      </c>
      <c r="N38" s="85">
        <v>17</v>
      </c>
      <c r="O38" s="85">
        <v>15</v>
      </c>
      <c r="P38" s="85">
        <v>15</v>
      </c>
      <c r="Q38" s="85">
        <v>17</v>
      </c>
      <c r="R38" s="85">
        <v>13</v>
      </c>
      <c r="S38" s="85">
        <v>17</v>
      </c>
      <c r="T38" s="85">
        <v>17</v>
      </c>
      <c r="U38" s="85">
        <v>14</v>
      </c>
      <c r="V38" s="85">
        <v>17</v>
      </c>
    </row>
  </sheetData>
  <mergeCells count="2">
    <mergeCell ref="B3:V3"/>
    <mergeCell ref="B2:V2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H44"/>
  <sheetViews>
    <sheetView showGridLines="0" workbookViewId="0"/>
  </sheetViews>
  <sheetFormatPr baseColWidth="10" defaultColWidth="8.83203125" defaultRowHeight="15" x14ac:dyDescent="0.2"/>
  <cols>
    <col min="1" max="1" width="2" customWidth="1"/>
    <col min="2" max="2" width="16" customWidth="1"/>
    <col min="3" max="8" width="13" customWidth="1"/>
  </cols>
  <sheetData>
    <row r="2" spans="2:8" ht="28" customHeight="1" x14ac:dyDescent="0.2">
      <c r="B2" s="195" t="s">
        <v>419</v>
      </c>
      <c r="C2" s="143"/>
      <c r="D2" s="143"/>
      <c r="E2" s="143"/>
      <c r="F2" s="143"/>
      <c r="G2" s="143"/>
      <c r="H2" s="143"/>
    </row>
    <row r="3" spans="2:8" ht="34" customHeight="1" x14ac:dyDescent="0.2">
      <c r="B3" s="194" t="s">
        <v>420</v>
      </c>
      <c r="C3" s="143"/>
      <c r="D3" s="143"/>
      <c r="E3" s="143"/>
      <c r="F3" s="143"/>
      <c r="G3" s="143"/>
      <c r="H3" s="143"/>
    </row>
    <row r="5" spans="2:8" x14ac:dyDescent="0.2">
      <c r="B5" s="196" t="s">
        <v>421</v>
      </c>
      <c r="C5" s="191" t="s">
        <v>279</v>
      </c>
      <c r="D5" s="146"/>
      <c r="E5" s="192" t="s">
        <v>220</v>
      </c>
      <c r="F5" s="146"/>
      <c r="G5" s="193" t="s">
        <v>221</v>
      </c>
      <c r="H5" s="146"/>
    </row>
    <row r="6" spans="2:8" x14ac:dyDescent="0.2">
      <c r="B6" s="197"/>
      <c r="C6" s="87" t="s">
        <v>422</v>
      </c>
      <c r="D6" s="87" t="s">
        <v>316</v>
      </c>
      <c r="E6" s="88" t="s">
        <v>422</v>
      </c>
      <c r="F6" s="88" t="s">
        <v>316</v>
      </c>
      <c r="G6" s="89" t="s">
        <v>422</v>
      </c>
      <c r="H6" s="89" t="s">
        <v>316</v>
      </c>
    </row>
    <row r="7" spans="2:8" x14ac:dyDescent="0.2">
      <c r="B7" s="90" t="s">
        <v>423</v>
      </c>
      <c r="C7" s="91">
        <v>93</v>
      </c>
      <c r="D7" s="92">
        <v>-7</v>
      </c>
      <c r="E7" s="91">
        <v>81</v>
      </c>
      <c r="F7" s="92">
        <v>-19</v>
      </c>
      <c r="G7" s="91">
        <v>48</v>
      </c>
      <c r="H7" s="92">
        <v>-52</v>
      </c>
    </row>
    <row r="8" spans="2:8" x14ac:dyDescent="0.2">
      <c r="B8" s="93" t="s">
        <v>424</v>
      </c>
      <c r="C8" s="91">
        <v>126</v>
      </c>
      <c r="D8" s="94">
        <v>26</v>
      </c>
      <c r="E8" s="91">
        <v>123</v>
      </c>
      <c r="F8" s="94">
        <v>23</v>
      </c>
      <c r="G8" s="91">
        <v>94</v>
      </c>
      <c r="H8" s="92">
        <v>-6</v>
      </c>
    </row>
    <row r="9" spans="2:8" x14ac:dyDescent="0.2">
      <c r="B9" s="95" t="s">
        <v>425</v>
      </c>
      <c r="C9" s="91">
        <v>157</v>
      </c>
      <c r="D9" s="94">
        <v>57</v>
      </c>
      <c r="E9" s="91">
        <v>164</v>
      </c>
      <c r="F9" s="94">
        <v>64</v>
      </c>
      <c r="G9" s="91">
        <v>149</v>
      </c>
      <c r="H9" s="94">
        <v>49</v>
      </c>
    </row>
    <row r="10" spans="2:8" x14ac:dyDescent="0.2">
      <c r="B10" s="93" t="s">
        <v>426</v>
      </c>
      <c r="C10" s="91">
        <v>187</v>
      </c>
      <c r="D10" s="94">
        <v>87</v>
      </c>
      <c r="E10" s="91">
        <v>208</v>
      </c>
      <c r="F10" s="94">
        <v>108</v>
      </c>
      <c r="G10" s="91">
        <v>219</v>
      </c>
      <c r="H10" s="94">
        <v>119</v>
      </c>
    </row>
    <row r="11" spans="2:8" x14ac:dyDescent="0.2">
      <c r="B11" s="96" t="s">
        <v>427</v>
      </c>
      <c r="C11" s="97">
        <v>220</v>
      </c>
      <c r="D11" s="94">
        <v>120</v>
      </c>
      <c r="E11" s="97">
        <v>260</v>
      </c>
      <c r="F11" s="94">
        <v>160</v>
      </c>
      <c r="G11" s="97">
        <v>314</v>
      </c>
      <c r="H11" s="94">
        <v>214</v>
      </c>
    </row>
    <row r="12" spans="2:8" x14ac:dyDescent="0.2">
      <c r="B12" s="93" t="s">
        <v>428</v>
      </c>
      <c r="C12" s="91">
        <v>259</v>
      </c>
      <c r="D12" s="94">
        <v>159</v>
      </c>
      <c r="E12" s="91">
        <v>324</v>
      </c>
      <c r="F12" s="94">
        <v>224</v>
      </c>
      <c r="G12" s="91">
        <v>438</v>
      </c>
      <c r="H12" s="94">
        <v>338</v>
      </c>
    </row>
    <row r="13" spans="2:8" x14ac:dyDescent="0.2">
      <c r="B13" s="95" t="s">
        <v>429</v>
      </c>
      <c r="C13" s="91">
        <v>305</v>
      </c>
      <c r="D13" s="94">
        <v>205</v>
      </c>
      <c r="E13" s="91">
        <v>402</v>
      </c>
      <c r="F13" s="94">
        <v>302</v>
      </c>
      <c r="G13" s="91">
        <v>600</v>
      </c>
      <c r="H13" s="94">
        <v>500</v>
      </c>
    </row>
    <row r="14" spans="2:8" x14ac:dyDescent="0.2">
      <c r="B14" s="93" t="s">
        <v>430</v>
      </c>
      <c r="C14" s="91">
        <v>366</v>
      </c>
      <c r="D14" s="94">
        <v>266</v>
      </c>
      <c r="E14" s="91">
        <v>517</v>
      </c>
      <c r="F14" s="94">
        <v>417</v>
      </c>
      <c r="G14" s="91">
        <v>909</v>
      </c>
      <c r="H14" s="94">
        <v>809</v>
      </c>
    </row>
    <row r="15" spans="2:8" x14ac:dyDescent="0.2">
      <c r="B15" s="90" t="s">
        <v>431</v>
      </c>
      <c r="C15" s="91">
        <v>461</v>
      </c>
      <c r="D15" s="94">
        <v>361</v>
      </c>
      <c r="E15" s="91">
        <v>706</v>
      </c>
      <c r="F15" s="94">
        <v>606</v>
      </c>
      <c r="G15" s="91">
        <v>1420</v>
      </c>
      <c r="H15" s="94">
        <v>1320</v>
      </c>
    </row>
    <row r="16" spans="2:8" ht="26" x14ac:dyDescent="0.2">
      <c r="B16" s="98" t="s">
        <v>284</v>
      </c>
      <c r="C16" s="191" t="s">
        <v>432</v>
      </c>
      <c r="D16" s="146"/>
      <c r="E16" s="192" t="s">
        <v>286</v>
      </c>
      <c r="F16" s="146"/>
      <c r="G16" s="193" t="s">
        <v>287</v>
      </c>
      <c r="H16" s="146"/>
    </row>
    <row r="17" spans="2:8" ht="26" x14ac:dyDescent="0.2">
      <c r="B17" s="98" t="s">
        <v>433</v>
      </c>
      <c r="C17" s="191" t="s">
        <v>434</v>
      </c>
      <c r="D17" s="146"/>
      <c r="E17" s="192" t="s">
        <v>435</v>
      </c>
      <c r="F17" s="146"/>
      <c r="G17" s="193" t="s">
        <v>436</v>
      </c>
      <c r="H17" s="146"/>
    </row>
    <row r="18" spans="2:8" x14ac:dyDescent="0.2">
      <c r="B18" s="98" t="s">
        <v>437</v>
      </c>
      <c r="C18" s="191" t="s">
        <v>438</v>
      </c>
      <c r="D18" s="146"/>
      <c r="E18" s="192" t="s">
        <v>439</v>
      </c>
      <c r="F18" s="146"/>
      <c r="G18" s="193" t="s">
        <v>440</v>
      </c>
      <c r="H18" s="146"/>
    </row>
    <row r="40" spans="2:8" ht="26" customHeight="1" x14ac:dyDescent="0.2">
      <c r="B40" s="190" t="s">
        <v>441</v>
      </c>
      <c r="C40" s="143"/>
      <c r="D40" s="143"/>
      <c r="E40" s="143"/>
      <c r="F40" s="143"/>
      <c r="G40" s="143"/>
      <c r="H40" s="143"/>
    </row>
    <row r="41" spans="2:8" ht="26" customHeight="1" x14ac:dyDescent="0.2">
      <c r="B41" s="190" t="s">
        <v>442</v>
      </c>
      <c r="C41" s="143"/>
      <c r="D41" s="143"/>
      <c r="E41" s="143"/>
      <c r="F41" s="143"/>
      <c r="G41" s="143"/>
      <c r="H41" s="143"/>
    </row>
    <row r="42" spans="2:8" ht="26" customHeight="1" x14ac:dyDescent="0.2">
      <c r="B42" s="190" t="s">
        <v>443</v>
      </c>
      <c r="C42" s="143"/>
      <c r="D42" s="143"/>
      <c r="E42" s="143"/>
      <c r="F42" s="143"/>
      <c r="G42" s="143"/>
      <c r="H42" s="143"/>
    </row>
    <row r="43" spans="2:8" ht="26" customHeight="1" x14ac:dyDescent="0.2">
      <c r="B43" s="190" t="s">
        <v>444</v>
      </c>
      <c r="C43" s="143"/>
      <c r="D43" s="143"/>
      <c r="E43" s="143"/>
      <c r="F43" s="143"/>
      <c r="G43" s="143"/>
      <c r="H43" s="143"/>
    </row>
    <row r="44" spans="2:8" ht="26" customHeight="1" x14ac:dyDescent="0.2">
      <c r="B44" s="190" t="s">
        <v>445</v>
      </c>
      <c r="C44" s="143"/>
      <c r="D44" s="143"/>
      <c r="E44" s="143"/>
      <c r="F44" s="143"/>
      <c r="G44" s="143"/>
      <c r="H44" s="143"/>
    </row>
  </sheetData>
  <mergeCells count="20">
    <mergeCell ref="B44:H44"/>
    <mergeCell ref="C18:D18"/>
    <mergeCell ref="E18:F18"/>
    <mergeCell ref="B2:H2"/>
    <mergeCell ref="B42:H42"/>
    <mergeCell ref="C17:D17"/>
    <mergeCell ref="B5:B6"/>
    <mergeCell ref="E16:F16"/>
    <mergeCell ref="G16:H16"/>
    <mergeCell ref="B41:H41"/>
    <mergeCell ref="G18:H18"/>
    <mergeCell ref="B3:H3"/>
    <mergeCell ref="B43:H43"/>
    <mergeCell ref="G5:H5"/>
    <mergeCell ref="B40:H40"/>
    <mergeCell ref="C5:D5"/>
    <mergeCell ref="E5:F5"/>
    <mergeCell ref="E17:F17"/>
    <mergeCell ref="G17:H17"/>
    <mergeCell ref="C16:D16"/>
  </mergeCells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L36"/>
  <sheetViews>
    <sheetView showGridLines="0" workbookViewId="0"/>
  </sheetViews>
  <sheetFormatPr baseColWidth="10" defaultColWidth="8.83203125" defaultRowHeight="15" x14ac:dyDescent="0.2"/>
  <cols>
    <col min="1" max="1" width="2" customWidth="1"/>
    <col min="2" max="2" width="6" customWidth="1"/>
    <col min="3" max="3" width="7" customWidth="1"/>
    <col min="4" max="6" width="11" customWidth="1"/>
    <col min="7" max="7" width="12" customWidth="1"/>
    <col min="8" max="8" width="13" customWidth="1"/>
    <col min="9" max="10" width="12" customWidth="1"/>
    <col min="11" max="11" width="16" customWidth="1"/>
    <col min="12" max="12" width="2" customWidth="1"/>
  </cols>
  <sheetData>
    <row r="2" spans="2:12" ht="28" customHeight="1" x14ac:dyDescent="0.2">
      <c r="B2" s="202" t="s">
        <v>446</v>
      </c>
      <c r="C2" s="143"/>
      <c r="D2" s="143"/>
      <c r="E2" s="143"/>
      <c r="F2" s="143"/>
      <c r="G2" s="143"/>
      <c r="H2" s="143"/>
      <c r="I2" s="143"/>
      <c r="J2" s="143"/>
      <c r="K2" s="143"/>
    </row>
    <row r="3" spans="2:12" ht="46" customHeight="1" x14ac:dyDescent="0.2">
      <c r="B3" s="194" t="s">
        <v>447</v>
      </c>
      <c r="C3" s="143"/>
      <c r="D3" s="143"/>
      <c r="E3" s="143"/>
      <c r="F3" s="143"/>
      <c r="G3" s="143"/>
      <c r="H3" s="143"/>
      <c r="I3" s="143"/>
      <c r="J3" s="143"/>
      <c r="K3" s="143"/>
    </row>
    <row r="5" spans="2:12" ht="30" customHeight="1" x14ac:dyDescent="0.2">
      <c r="B5" s="102" t="s">
        <v>102</v>
      </c>
      <c r="C5" s="102" t="s">
        <v>448</v>
      </c>
      <c r="D5" s="102" t="s">
        <v>145</v>
      </c>
      <c r="E5" s="102" t="s">
        <v>449</v>
      </c>
      <c r="F5" s="102" t="s">
        <v>450</v>
      </c>
      <c r="G5" s="102" t="s">
        <v>451</v>
      </c>
      <c r="H5" s="102" t="s">
        <v>452</v>
      </c>
      <c r="I5" s="102" t="s">
        <v>453</v>
      </c>
      <c r="J5" s="102" t="s">
        <v>454</v>
      </c>
      <c r="K5" s="102" t="s">
        <v>455</v>
      </c>
      <c r="L5" s="102" t="s">
        <v>456</v>
      </c>
    </row>
    <row r="6" spans="2:12" ht="22" customHeight="1" x14ac:dyDescent="0.2">
      <c r="B6" s="103">
        <v>1</v>
      </c>
      <c r="C6" s="104">
        <v>5</v>
      </c>
      <c r="D6" s="105">
        <v>8.6300000000000008</v>
      </c>
      <c r="E6" s="106">
        <v>518</v>
      </c>
      <c r="F6" s="107">
        <v>458</v>
      </c>
      <c r="G6" s="108">
        <v>0.30353400000000003</v>
      </c>
      <c r="H6" s="108">
        <v>0.41371950000000007</v>
      </c>
      <c r="I6" s="108">
        <v>0.28274650000000001</v>
      </c>
      <c r="J6" s="110">
        <v>122</v>
      </c>
      <c r="K6" s="104" t="s">
        <v>457</v>
      </c>
      <c r="L6" s="111" t="s">
        <v>458</v>
      </c>
    </row>
    <row r="7" spans="2:12" ht="22" customHeight="1" x14ac:dyDescent="0.2">
      <c r="B7" s="103">
        <v>2</v>
      </c>
      <c r="C7" s="104">
        <v>5</v>
      </c>
      <c r="D7" s="105">
        <v>8.4</v>
      </c>
      <c r="E7" s="106">
        <v>504</v>
      </c>
      <c r="F7" s="107">
        <v>444</v>
      </c>
      <c r="G7" s="108">
        <v>0.30353400000000003</v>
      </c>
      <c r="H7" s="108">
        <v>0.41371950000000002</v>
      </c>
      <c r="I7" s="108">
        <v>0.28274650000000001</v>
      </c>
      <c r="J7" s="110">
        <v>118</v>
      </c>
      <c r="K7" s="104" t="s">
        <v>457</v>
      </c>
      <c r="L7" s="111" t="s">
        <v>458</v>
      </c>
    </row>
    <row r="8" spans="2:12" ht="22" customHeight="1" x14ac:dyDescent="0.2">
      <c r="B8" s="103">
        <v>3</v>
      </c>
      <c r="C8" s="104">
        <v>5</v>
      </c>
      <c r="D8" s="105">
        <v>7.5</v>
      </c>
      <c r="E8" s="106">
        <v>450</v>
      </c>
      <c r="F8" s="107">
        <v>390</v>
      </c>
      <c r="G8" s="108">
        <v>0.27700288000000001</v>
      </c>
      <c r="H8" s="108">
        <v>0.40643679999999999</v>
      </c>
      <c r="I8" s="109">
        <v>0.31656032000000001</v>
      </c>
      <c r="J8" s="110">
        <v>89</v>
      </c>
      <c r="K8" s="104" t="s">
        <v>457</v>
      </c>
      <c r="L8" s="111" t="s">
        <v>458</v>
      </c>
    </row>
    <row r="9" spans="2:12" ht="22" customHeight="1" x14ac:dyDescent="0.2">
      <c r="B9" s="103">
        <v>4</v>
      </c>
      <c r="C9" s="104">
        <v>5</v>
      </c>
      <c r="D9" s="105">
        <v>17.579999999999998</v>
      </c>
      <c r="E9" s="106">
        <v>1055</v>
      </c>
      <c r="F9" s="107">
        <v>995</v>
      </c>
      <c r="G9" s="108">
        <v>0.325125</v>
      </c>
      <c r="H9" s="108">
        <v>0.41278124999999999</v>
      </c>
      <c r="I9" s="108">
        <v>0.26209375000000001</v>
      </c>
      <c r="J9" s="110">
        <v>308</v>
      </c>
      <c r="K9" s="104" t="s">
        <v>459</v>
      </c>
      <c r="L9" s="111" t="s">
        <v>460</v>
      </c>
    </row>
    <row r="10" spans="2:12" ht="22" customHeight="1" x14ac:dyDescent="0.2">
      <c r="B10" s="103">
        <v>5</v>
      </c>
      <c r="C10" s="104">
        <v>5</v>
      </c>
      <c r="D10" s="105">
        <v>7.76</v>
      </c>
      <c r="E10" s="106">
        <v>465</v>
      </c>
      <c r="F10" s="107">
        <v>405</v>
      </c>
      <c r="G10" s="108">
        <v>0.26261311999999998</v>
      </c>
      <c r="H10" s="108">
        <v>0.40401120000000001</v>
      </c>
      <c r="I10" s="109">
        <v>0.33337568000000012</v>
      </c>
      <c r="J10" s="110">
        <v>86</v>
      </c>
      <c r="K10" s="104" t="s">
        <v>459</v>
      </c>
      <c r="L10" s="111" t="s">
        <v>461</v>
      </c>
    </row>
    <row r="11" spans="2:12" ht="22" customHeight="1" x14ac:dyDescent="0.2">
      <c r="B11" s="103">
        <v>6</v>
      </c>
      <c r="C11" s="104">
        <v>5</v>
      </c>
      <c r="D11" s="105">
        <v>7.34</v>
      </c>
      <c r="E11" s="106">
        <v>440</v>
      </c>
      <c r="F11" s="107">
        <v>380</v>
      </c>
      <c r="G11" s="108">
        <v>0.2338336</v>
      </c>
      <c r="H11" s="108">
        <v>0.39916000000000001</v>
      </c>
      <c r="I11" s="109">
        <v>0.36700640000000001</v>
      </c>
      <c r="J11" s="110">
        <v>67</v>
      </c>
      <c r="K11" s="104" t="s">
        <v>459</v>
      </c>
      <c r="L11" s="111" t="s">
        <v>461</v>
      </c>
    </row>
    <row r="12" spans="2:12" ht="22" customHeight="1" x14ac:dyDescent="0.2">
      <c r="B12" s="103">
        <v>7</v>
      </c>
      <c r="C12" s="104">
        <v>5</v>
      </c>
      <c r="D12" s="105">
        <v>16.78</v>
      </c>
      <c r="E12" s="106">
        <v>1007</v>
      </c>
      <c r="F12" s="107">
        <v>947</v>
      </c>
      <c r="G12" s="108">
        <v>0.33660000000000001</v>
      </c>
      <c r="H12" s="108">
        <v>0.41385</v>
      </c>
      <c r="I12" s="108">
        <v>0.24954999999999999</v>
      </c>
      <c r="J12" s="110">
        <v>304</v>
      </c>
      <c r="K12" s="104" t="s">
        <v>462</v>
      </c>
      <c r="L12" s="111" t="s">
        <v>463</v>
      </c>
    </row>
    <row r="13" spans="2:12" ht="22" customHeight="1" x14ac:dyDescent="0.2">
      <c r="B13" s="103">
        <v>8</v>
      </c>
      <c r="C13" s="104">
        <v>5</v>
      </c>
      <c r="D13" s="105">
        <v>19.510000000000002</v>
      </c>
      <c r="E13" s="106">
        <v>1170</v>
      </c>
      <c r="F13" s="107">
        <v>1110</v>
      </c>
      <c r="G13" s="108">
        <v>0.28687499999999999</v>
      </c>
      <c r="H13" s="108">
        <v>0.40921875000000002</v>
      </c>
      <c r="I13" s="109">
        <v>0.30390624999999999</v>
      </c>
      <c r="J13" s="110">
        <v>300</v>
      </c>
      <c r="K13" s="104" t="s">
        <v>462</v>
      </c>
      <c r="L13" s="111" t="s">
        <v>464</v>
      </c>
    </row>
    <row r="14" spans="2:12" ht="22" customHeight="1" x14ac:dyDescent="0.2">
      <c r="B14" s="103">
        <v>9</v>
      </c>
      <c r="C14" s="104">
        <v>5</v>
      </c>
      <c r="D14" s="105">
        <v>9.2899999999999991</v>
      </c>
      <c r="E14" s="106">
        <v>557</v>
      </c>
      <c r="F14" s="107">
        <v>497</v>
      </c>
      <c r="G14" s="108">
        <v>0.37867499999999998</v>
      </c>
      <c r="H14" s="108">
        <v>0.41298750000000012</v>
      </c>
      <c r="I14" s="108">
        <v>0.20833750000000001</v>
      </c>
      <c r="J14" s="110">
        <v>176</v>
      </c>
      <c r="K14" s="104" t="s">
        <v>462</v>
      </c>
      <c r="L14" s="111" t="s">
        <v>464</v>
      </c>
    </row>
    <row r="15" spans="2:12" ht="22" customHeight="1" x14ac:dyDescent="0.2">
      <c r="B15" s="103">
        <v>10</v>
      </c>
      <c r="C15" s="104">
        <v>5</v>
      </c>
      <c r="D15" s="105">
        <v>17.579999999999998</v>
      </c>
      <c r="E15" s="106">
        <v>1055</v>
      </c>
      <c r="F15" s="107">
        <v>995</v>
      </c>
      <c r="G15" s="108">
        <v>0.31747500000000001</v>
      </c>
      <c r="H15" s="108">
        <v>0.41206874999999998</v>
      </c>
      <c r="I15" s="108">
        <v>0.27045625000000012</v>
      </c>
      <c r="J15" s="110">
        <v>300</v>
      </c>
      <c r="K15" s="104" t="s">
        <v>465</v>
      </c>
      <c r="L15" s="111" t="s">
        <v>466</v>
      </c>
    </row>
    <row r="16" spans="2:12" ht="22" customHeight="1" x14ac:dyDescent="0.2">
      <c r="B16" s="103">
        <v>11</v>
      </c>
      <c r="C16" s="104">
        <v>5</v>
      </c>
      <c r="D16" s="105">
        <v>8.6199999999999992</v>
      </c>
      <c r="E16" s="106">
        <v>517</v>
      </c>
      <c r="F16" s="107">
        <v>457</v>
      </c>
      <c r="G16" s="108">
        <v>0.41906700000000002</v>
      </c>
      <c r="H16" s="108">
        <v>0.40318349999999997</v>
      </c>
      <c r="I16" s="108">
        <v>0.1777495</v>
      </c>
      <c r="J16" s="110">
        <v>181</v>
      </c>
      <c r="K16" s="104" t="s">
        <v>465</v>
      </c>
      <c r="L16" s="111" t="s">
        <v>466</v>
      </c>
    </row>
    <row r="17" spans="2:12" ht="22" customHeight="1" x14ac:dyDescent="0.2">
      <c r="B17" s="103">
        <v>12</v>
      </c>
      <c r="C17" s="104">
        <v>5</v>
      </c>
      <c r="D17" s="105">
        <v>10.210000000000001</v>
      </c>
      <c r="E17" s="106">
        <v>613</v>
      </c>
      <c r="F17" s="107">
        <v>553</v>
      </c>
      <c r="G17" s="108">
        <v>0.34922249999999988</v>
      </c>
      <c r="H17" s="108">
        <v>0.41359125000000002</v>
      </c>
      <c r="I17" s="108">
        <v>0.23718624999999999</v>
      </c>
      <c r="J17" s="110">
        <v>179</v>
      </c>
      <c r="K17" s="104" t="s">
        <v>465</v>
      </c>
      <c r="L17" s="111" t="s">
        <v>466</v>
      </c>
    </row>
    <row r="18" spans="2:12" ht="22" customHeight="1" x14ac:dyDescent="0.2">
      <c r="B18" s="112" t="s">
        <v>467</v>
      </c>
      <c r="C18" s="204" t="s">
        <v>468</v>
      </c>
      <c r="D18" s="146"/>
      <c r="E18" s="203" t="s">
        <v>469</v>
      </c>
      <c r="F18" s="145"/>
      <c r="G18" s="145"/>
      <c r="H18" s="145"/>
      <c r="I18" s="146"/>
      <c r="J18" s="113">
        <v>2229</v>
      </c>
      <c r="K18" s="205"/>
      <c r="L18" s="146"/>
    </row>
    <row r="20" spans="2:12" ht="22" customHeight="1" x14ac:dyDescent="0.2">
      <c r="B20" s="201" t="s">
        <v>470</v>
      </c>
      <c r="C20" s="143"/>
      <c r="D20" s="143"/>
      <c r="E20" s="143"/>
      <c r="F20" s="143"/>
      <c r="G20" s="143"/>
      <c r="H20" s="143"/>
      <c r="I20" s="143"/>
      <c r="J20" s="143"/>
      <c r="K20" s="143"/>
    </row>
    <row r="21" spans="2:12" ht="24" customHeight="1" x14ac:dyDescent="0.2">
      <c r="B21" s="147" t="s">
        <v>471</v>
      </c>
      <c r="C21" s="145"/>
      <c r="D21" s="145"/>
      <c r="E21" s="146"/>
      <c r="F21" s="144" t="s">
        <v>472</v>
      </c>
      <c r="G21" s="145"/>
      <c r="H21" s="145"/>
      <c r="I21" s="145"/>
      <c r="J21" s="145"/>
      <c r="K21" s="146"/>
    </row>
    <row r="22" spans="2:12" ht="24" customHeight="1" x14ac:dyDescent="0.2">
      <c r="B22" s="147" t="s">
        <v>473</v>
      </c>
      <c r="C22" s="145"/>
      <c r="D22" s="145"/>
      <c r="E22" s="146"/>
      <c r="F22" s="144" t="s">
        <v>474</v>
      </c>
      <c r="G22" s="145"/>
      <c r="H22" s="145"/>
      <c r="I22" s="145"/>
      <c r="J22" s="145"/>
      <c r="K22" s="146"/>
    </row>
    <row r="23" spans="2:12" ht="24" customHeight="1" x14ac:dyDescent="0.2">
      <c r="B23" s="147" t="s">
        <v>475</v>
      </c>
      <c r="C23" s="145"/>
      <c r="D23" s="145"/>
      <c r="E23" s="146"/>
      <c r="F23" s="144" t="s">
        <v>476</v>
      </c>
      <c r="G23" s="145"/>
      <c r="H23" s="145"/>
      <c r="I23" s="145"/>
      <c r="J23" s="145"/>
      <c r="K23" s="146"/>
    </row>
    <row r="24" spans="2:12" ht="24" customHeight="1" x14ac:dyDescent="0.2">
      <c r="B24" s="147" t="s">
        <v>477</v>
      </c>
      <c r="C24" s="145"/>
      <c r="D24" s="145"/>
      <c r="E24" s="146"/>
      <c r="F24" s="144" t="s">
        <v>478</v>
      </c>
      <c r="G24" s="145"/>
      <c r="H24" s="145"/>
      <c r="I24" s="145"/>
      <c r="J24" s="145"/>
      <c r="K24" s="146"/>
    </row>
    <row r="26" spans="2:12" ht="20" customHeight="1" x14ac:dyDescent="0.2">
      <c r="B26" s="150" t="s">
        <v>479</v>
      </c>
      <c r="C26" s="143"/>
      <c r="D26" s="143"/>
      <c r="E26" s="143"/>
      <c r="F26" s="143"/>
      <c r="G26" s="143"/>
      <c r="H26" s="143"/>
      <c r="I26" s="143"/>
      <c r="J26" s="143"/>
      <c r="K26" s="143"/>
    </row>
    <row r="27" spans="2:12" x14ac:dyDescent="0.2">
      <c r="B27" s="200" t="s">
        <v>480</v>
      </c>
      <c r="C27" s="145"/>
      <c r="D27" s="146"/>
      <c r="E27" s="200" t="s">
        <v>481</v>
      </c>
      <c r="F27" s="145"/>
      <c r="G27" s="146"/>
      <c r="H27" s="200" t="s">
        <v>482</v>
      </c>
      <c r="I27" s="145"/>
      <c r="J27" s="145"/>
      <c r="K27" s="146"/>
    </row>
    <row r="28" spans="2:12" x14ac:dyDescent="0.2">
      <c r="B28" s="198" t="s">
        <v>457</v>
      </c>
      <c r="C28" s="145"/>
      <c r="D28" s="146"/>
      <c r="E28" s="199">
        <v>3</v>
      </c>
      <c r="F28" s="145"/>
      <c r="G28" s="146"/>
      <c r="H28" s="198" t="s">
        <v>483</v>
      </c>
      <c r="I28" s="145"/>
      <c r="J28" s="145"/>
      <c r="K28" s="146"/>
    </row>
    <row r="29" spans="2:12" x14ac:dyDescent="0.2">
      <c r="B29" s="198" t="s">
        <v>459</v>
      </c>
      <c r="C29" s="145"/>
      <c r="D29" s="146"/>
      <c r="E29" s="199">
        <v>3</v>
      </c>
      <c r="F29" s="145"/>
      <c r="G29" s="146"/>
      <c r="H29" s="198" t="s">
        <v>483</v>
      </c>
      <c r="I29" s="145"/>
      <c r="J29" s="145"/>
      <c r="K29" s="146"/>
    </row>
    <row r="30" spans="2:12" x14ac:dyDescent="0.2">
      <c r="B30" s="198" t="s">
        <v>462</v>
      </c>
      <c r="C30" s="145"/>
      <c r="D30" s="146"/>
      <c r="E30" s="199">
        <v>3</v>
      </c>
      <c r="F30" s="145"/>
      <c r="G30" s="146"/>
      <c r="H30" s="198" t="s">
        <v>483</v>
      </c>
      <c r="I30" s="145"/>
      <c r="J30" s="145"/>
      <c r="K30" s="146"/>
    </row>
    <row r="31" spans="2:12" x14ac:dyDescent="0.2">
      <c r="B31" s="198" t="s">
        <v>465</v>
      </c>
      <c r="C31" s="145"/>
      <c r="D31" s="146"/>
      <c r="E31" s="199">
        <v>3</v>
      </c>
      <c r="F31" s="145"/>
      <c r="G31" s="146"/>
      <c r="H31" s="198" t="s">
        <v>483</v>
      </c>
      <c r="I31" s="145"/>
      <c r="J31" s="145"/>
      <c r="K31" s="146"/>
    </row>
    <row r="33" spans="2:11" ht="24" customHeight="1" x14ac:dyDescent="0.2">
      <c r="B33" s="190" t="s">
        <v>484</v>
      </c>
      <c r="C33" s="143"/>
      <c r="D33" s="143"/>
      <c r="E33" s="143"/>
      <c r="F33" s="143"/>
      <c r="G33" s="143"/>
      <c r="H33" s="143"/>
      <c r="I33" s="143"/>
      <c r="J33" s="143"/>
      <c r="K33" s="143"/>
    </row>
    <row r="34" spans="2:11" ht="24" customHeight="1" x14ac:dyDescent="0.2">
      <c r="B34" s="190" t="s">
        <v>485</v>
      </c>
      <c r="C34" s="143"/>
      <c r="D34" s="143"/>
      <c r="E34" s="143"/>
      <c r="F34" s="143"/>
      <c r="G34" s="143"/>
      <c r="H34" s="143"/>
      <c r="I34" s="143"/>
      <c r="J34" s="143"/>
      <c r="K34" s="143"/>
    </row>
    <row r="35" spans="2:11" ht="24" customHeight="1" x14ac:dyDescent="0.2">
      <c r="B35" s="190" t="s">
        <v>486</v>
      </c>
      <c r="C35" s="143"/>
      <c r="D35" s="143"/>
      <c r="E35" s="143"/>
      <c r="F35" s="143"/>
      <c r="G35" s="143"/>
      <c r="H35" s="143"/>
      <c r="I35" s="143"/>
      <c r="J35" s="143"/>
      <c r="K35" s="143"/>
    </row>
    <row r="36" spans="2:11" ht="24" customHeight="1" x14ac:dyDescent="0.2">
      <c r="B36" s="190" t="s">
        <v>487</v>
      </c>
      <c r="C36" s="143"/>
      <c r="D36" s="143"/>
      <c r="E36" s="143"/>
      <c r="F36" s="143"/>
      <c r="G36" s="143"/>
      <c r="H36" s="143"/>
      <c r="I36" s="143"/>
      <c r="J36" s="143"/>
      <c r="K36" s="143"/>
    </row>
  </sheetData>
  <mergeCells count="34">
    <mergeCell ref="B3:K3"/>
    <mergeCell ref="H31:K31"/>
    <mergeCell ref="B21:E21"/>
    <mergeCell ref="B2:K2"/>
    <mergeCell ref="E18:I18"/>
    <mergeCell ref="B23:E23"/>
    <mergeCell ref="B31:D31"/>
    <mergeCell ref="B27:D27"/>
    <mergeCell ref="C18:D18"/>
    <mergeCell ref="E29:G29"/>
    <mergeCell ref="K18:L18"/>
    <mergeCell ref="F21:K21"/>
    <mergeCell ref="B20:K20"/>
    <mergeCell ref="B29:D29"/>
    <mergeCell ref="B33:K33"/>
    <mergeCell ref="B36:K36"/>
    <mergeCell ref="B28:D28"/>
    <mergeCell ref="F23:K23"/>
    <mergeCell ref="H30:K30"/>
    <mergeCell ref="E27:G27"/>
    <mergeCell ref="F22:K22"/>
    <mergeCell ref="B26:K26"/>
    <mergeCell ref="B35:K35"/>
    <mergeCell ref="H29:K29"/>
    <mergeCell ref="B30:D30"/>
    <mergeCell ref="B22:E22"/>
    <mergeCell ref="B34:K34"/>
    <mergeCell ref="H28:K28"/>
    <mergeCell ref="E28:G28"/>
    <mergeCell ref="F24:K24"/>
    <mergeCell ref="H27:K27"/>
    <mergeCell ref="E31:G31"/>
    <mergeCell ref="B24:E24"/>
    <mergeCell ref="E30:G3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E110"/>
  <sheetViews>
    <sheetView showGridLines="0" workbookViewId="0"/>
  </sheetViews>
  <sheetFormatPr baseColWidth="10" defaultColWidth="8.83203125" defaultRowHeight="15" x14ac:dyDescent="0.2"/>
  <cols>
    <col min="1" max="1" width="2" customWidth="1"/>
    <col min="2" max="2" width="8" customWidth="1"/>
    <col min="3" max="3" width="30" customWidth="1"/>
    <col min="4" max="5" width="9" customWidth="1"/>
    <col min="6" max="6" width="2" customWidth="1"/>
  </cols>
  <sheetData>
    <row r="2" spans="2:5" ht="24" customHeight="1" x14ac:dyDescent="0.2">
      <c r="B2" s="207" t="s">
        <v>488</v>
      </c>
      <c r="C2" s="143"/>
      <c r="D2" s="143"/>
      <c r="E2" s="143"/>
    </row>
    <row r="4" spans="2:5" ht="20" customHeight="1" x14ac:dyDescent="0.2">
      <c r="B4" s="206" t="s">
        <v>489</v>
      </c>
      <c r="C4" s="143"/>
      <c r="D4" s="143"/>
      <c r="E4" s="143"/>
    </row>
    <row r="5" spans="2:5" x14ac:dyDescent="0.2">
      <c r="B5" s="116" t="s">
        <v>103</v>
      </c>
      <c r="C5" s="116" t="s">
        <v>104</v>
      </c>
      <c r="D5" s="116" t="s">
        <v>105</v>
      </c>
      <c r="E5" s="116" t="s">
        <v>107</v>
      </c>
    </row>
    <row r="6" spans="2:5" x14ac:dyDescent="0.2">
      <c r="B6" s="117" t="s">
        <v>490</v>
      </c>
      <c r="C6" s="111" t="s">
        <v>491</v>
      </c>
      <c r="D6" s="105">
        <v>1.41</v>
      </c>
      <c r="E6" s="118">
        <v>0.9</v>
      </c>
    </row>
    <row r="7" spans="2:5" ht="26" x14ac:dyDescent="0.2">
      <c r="B7" s="117" t="s">
        <v>492</v>
      </c>
      <c r="C7" s="111" t="s">
        <v>493</v>
      </c>
      <c r="D7" s="105">
        <v>1.67</v>
      </c>
      <c r="E7" s="118">
        <v>0.75</v>
      </c>
    </row>
    <row r="8" spans="2:5" x14ac:dyDescent="0.2">
      <c r="B8" s="117" t="s">
        <v>494</v>
      </c>
      <c r="C8" s="111" t="s">
        <v>495</v>
      </c>
      <c r="D8" s="105">
        <v>1.62</v>
      </c>
      <c r="E8" s="118">
        <v>0.73</v>
      </c>
    </row>
    <row r="9" spans="2:5" x14ac:dyDescent="0.2">
      <c r="B9" s="117" t="s">
        <v>496</v>
      </c>
      <c r="C9" s="111" t="s">
        <v>497</v>
      </c>
      <c r="D9" s="105">
        <v>1.46</v>
      </c>
      <c r="E9" s="118">
        <v>0.8</v>
      </c>
    </row>
    <row r="10" spans="2:5" x14ac:dyDescent="0.2">
      <c r="B10" s="117" t="s">
        <v>498</v>
      </c>
      <c r="C10" s="111" t="s">
        <v>499</v>
      </c>
      <c r="D10" s="105">
        <v>1.55</v>
      </c>
      <c r="E10" s="118">
        <v>0.77</v>
      </c>
    </row>
    <row r="11" spans="2:5" ht="26" x14ac:dyDescent="0.2">
      <c r="B11" s="119" t="s">
        <v>500</v>
      </c>
      <c r="C11" s="119" t="s">
        <v>501</v>
      </c>
      <c r="D11" s="120">
        <v>8.6300000000000008</v>
      </c>
      <c r="E11" s="121">
        <v>0.30353400000000003</v>
      </c>
    </row>
    <row r="13" spans="2:5" ht="20" customHeight="1" x14ac:dyDescent="0.2">
      <c r="B13" s="206" t="s">
        <v>502</v>
      </c>
      <c r="C13" s="143"/>
      <c r="D13" s="143"/>
      <c r="E13" s="143"/>
    </row>
    <row r="14" spans="2:5" x14ac:dyDescent="0.2">
      <c r="B14" s="116" t="s">
        <v>103</v>
      </c>
      <c r="C14" s="116" t="s">
        <v>104</v>
      </c>
      <c r="D14" s="116" t="s">
        <v>105</v>
      </c>
      <c r="E14" s="116" t="s">
        <v>107</v>
      </c>
    </row>
    <row r="15" spans="2:5" x14ac:dyDescent="0.2">
      <c r="B15" s="117" t="s">
        <v>503</v>
      </c>
      <c r="C15" s="111" t="s">
        <v>504</v>
      </c>
      <c r="D15" s="105">
        <v>1.42</v>
      </c>
      <c r="E15" s="118">
        <v>0.8</v>
      </c>
    </row>
    <row r="16" spans="2:5" x14ac:dyDescent="0.2">
      <c r="B16" s="117" t="s">
        <v>490</v>
      </c>
      <c r="C16" s="111" t="s">
        <v>491</v>
      </c>
      <c r="D16" s="105">
        <v>1.41</v>
      </c>
      <c r="E16" s="118">
        <v>0.9</v>
      </c>
    </row>
    <row r="17" spans="2:5" ht="26" x14ac:dyDescent="0.2">
      <c r="B17" s="117" t="s">
        <v>492</v>
      </c>
      <c r="C17" s="111" t="s">
        <v>493</v>
      </c>
      <c r="D17" s="105">
        <v>1.67</v>
      </c>
      <c r="E17" s="118">
        <v>0.75</v>
      </c>
    </row>
    <row r="18" spans="2:5" x14ac:dyDescent="0.2">
      <c r="B18" s="117" t="s">
        <v>494</v>
      </c>
      <c r="C18" s="111" t="s">
        <v>495</v>
      </c>
      <c r="D18" s="105">
        <v>1.62</v>
      </c>
      <c r="E18" s="118">
        <v>0.73</v>
      </c>
    </row>
    <row r="19" spans="2:5" x14ac:dyDescent="0.2">
      <c r="B19" s="117" t="s">
        <v>498</v>
      </c>
      <c r="C19" s="111" t="s">
        <v>499</v>
      </c>
      <c r="D19" s="105">
        <v>1.55</v>
      </c>
      <c r="E19" s="118">
        <v>0.77</v>
      </c>
    </row>
    <row r="20" spans="2:5" ht="26" x14ac:dyDescent="0.2">
      <c r="B20" s="119" t="s">
        <v>500</v>
      </c>
      <c r="C20" s="119" t="s">
        <v>505</v>
      </c>
      <c r="D20" s="120">
        <v>8.4</v>
      </c>
      <c r="E20" s="121">
        <v>0.30353400000000003</v>
      </c>
    </row>
    <row r="22" spans="2:5" ht="20" customHeight="1" x14ac:dyDescent="0.2">
      <c r="B22" s="206" t="s">
        <v>506</v>
      </c>
      <c r="C22" s="143"/>
      <c r="D22" s="143"/>
      <c r="E22" s="143"/>
    </row>
    <row r="23" spans="2:5" x14ac:dyDescent="0.2">
      <c r="B23" s="116" t="s">
        <v>103</v>
      </c>
      <c r="C23" s="116" t="s">
        <v>104</v>
      </c>
      <c r="D23" s="116" t="s">
        <v>105</v>
      </c>
      <c r="E23" s="116" t="s">
        <v>107</v>
      </c>
    </row>
    <row r="24" spans="2:5" x14ac:dyDescent="0.2">
      <c r="B24" s="117" t="s">
        <v>503</v>
      </c>
      <c r="C24" s="111" t="s">
        <v>504</v>
      </c>
      <c r="D24" s="105">
        <v>1.42</v>
      </c>
      <c r="E24" s="118">
        <v>0.8</v>
      </c>
    </row>
    <row r="25" spans="2:5" x14ac:dyDescent="0.2">
      <c r="B25" s="117" t="s">
        <v>494</v>
      </c>
      <c r="C25" s="111" t="s">
        <v>495</v>
      </c>
      <c r="D25" s="105">
        <v>1.62</v>
      </c>
      <c r="E25" s="118">
        <v>0.73</v>
      </c>
    </row>
    <row r="26" spans="2:5" x14ac:dyDescent="0.2">
      <c r="B26" s="117" t="s">
        <v>507</v>
      </c>
      <c r="C26" s="111" t="s">
        <v>508</v>
      </c>
      <c r="D26" s="105">
        <v>1.44</v>
      </c>
      <c r="E26" s="118">
        <v>0.77</v>
      </c>
    </row>
    <row r="27" spans="2:5" x14ac:dyDescent="0.2">
      <c r="B27" s="117" t="s">
        <v>496</v>
      </c>
      <c r="C27" s="111" t="s">
        <v>497</v>
      </c>
      <c r="D27" s="105">
        <v>1.46</v>
      </c>
      <c r="E27" s="118">
        <v>0.8</v>
      </c>
    </row>
    <row r="28" spans="2:5" x14ac:dyDescent="0.2">
      <c r="B28" s="117" t="s">
        <v>498</v>
      </c>
      <c r="C28" s="111" t="s">
        <v>499</v>
      </c>
      <c r="D28" s="105">
        <v>1.55</v>
      </c>
      <c r="E28" s="118">
        <v>0.77</v>
      </c>
    </row>
    <row r="29" spans="2:5" ht="26" x14ac:dyDescent="0.2">
      <c r="B29" s="119" t="s">
        <v>500</v>
      </c>
      <c r="C29" s="119" t="s">
        <v>509</v>
      </c>
      <c r="D29" s="120">
        <v>7.5</v>
      </c>
      <c r="E29" s="121">
        <v>0.27700288000000001</v>
      </c>
    </row>
    <row r="31" spans="2:5" ht="20" customHeight="1" x14ac:dyDescent="0.2">
      <c r="B31" s="206" t="s">
        <v>510</v>
      </c>
      <c r="C31" s="143"/>
      <c r="D31" s="143"/>
      <c r="E31" s="143"/>
    </row>
    <row r="32" spans="2:5" x14ac:dyDescent="0.2">
      <c r="B32" s="116" t="s">
        <v>103</v>
      </c>
      <c r="C32" s="116" t="s">
        <v>104</v>
      </c>
      <c r="D32" s="116" t="s">
        <v>105</v>
      </c>
      <c r="E32" s="116" t="s">
        <v>107</v>
      </c>
    </row>
    <row r="33" spans="2:5" x14ac:dyDescent="0.2">
      <c r="B33" s="117" t="s">
        <v>511</v>
      </c>
      <c r="C33" s="111" t="s">
        <v>512</v>
      </c>
      <c r="D33" s="105">
        <v>1.72</v>
      </c>
      <c r="E33" s="118">
        <v>0.8</v>
      </c>
    </row>
    <row r="34" spans="2:5" x14ac:dyDescent="0.2">
      <c r="B34" s="117" t="s">
        <v>513</v>
      </c>
      <c r="C34" s="111" t="s">
        <v>514</v>
      </c>
      <c r="D34" s="105">
        <v>1.85</v>
      </c>
      <c r="E34" s="118">
        <v>0.75</v>
      </c>
    </row>
    <row r="35" spans="2:5" ht="26" x14ac:dyDescent="0.2">
      <c r="B35" s="117" t="s">
        <v>515</v>
      </c>
      <c r="C35" s="111" t="s">
        <v>516</v>
      </c>
      <c r="D35" s="105">
        <v>1.98</v>
      </c>
      <c r="E35" s="118">
        <v>0.85</v>
      </c>
    </row>
    <row r="36" spans="2:5" x14ac:dyDescent="0.2">
      <c r="B36" s="117" t="s">
        <v>517</v>
      </c>
      <c r="C36" s="111" t="s">
        <v>518</v>
      </c>
      <c r="D36" s="105">
        <v>1.8</v>
      </c>
      <c r="E36" s="118">
        <v>0.75</v>
      </c>
    </row>
    <row r="37" spans="2:5" x14ac:dyDescent="0.2">
      <c r="B37" s="117" t="s">
        <v>519</v>
      </c>
      <c r="C37" s="111" t="s">
        <v>520</v>
      </c>
      <c r="D37" s="105">
        <v>1.55</v>
      </c>
      <c r="E37" s="118">
        <v>0.85</v>
      </c>
    </row>
    <row r="38" spans="2:5" ht="26" x14ac:dyDescent="0.2">
      <c r="B38" s="119" t="s">
        <v>500</v>
      </c>
      <c r="C38" s="119" t="s">
        <v>521</v>
      </c>
      <c r="D38" s="120">
        <v>17.579999999999998</v>
      </c>
      <c r="E38" s="121">
        <v>0.325125</v>
      </c>
    </row>
    <row r="40" spans="2:5" ht="20" customHeight="1" x14ac:dyDescent="0.2">
      <c r="B40" s="206" t="s">
        <v>522</v>
      </c>
      <c r="C40" s="143"/>
      <c r="D40" s="143"/>
      <c r="E40" s="143"/>
    </row>
    <row r="41" spans="2:5" x14ac:dyDescent="0.2">
      <c r="B41" s="116" t="s">
        <v>103</v>
      </c>
      <c r="C41" s="116" t="s">
        <v>104</v>
      </c>
      <c r="D41" s="116" t="s">
        <v>105</v>
      </c>
      <c r="E41" s="116" t="s">
        <v>107</v>
      </c>
    </row>
    <row r="42" spans="2:5" x14ac:dyDescent="0.2">
      <c r="B42" s="117" t="s">
        <v>503</v>
      </c>
      <c r="C42" s="111" t="s">
        <v>504</v>
      </c>
      <c r="D42" s="105">
        <v>1.42</v>
      </c>
      <c r="E42" s="118">
        <v>0.8</v>
      </c>
    </row>
    <row r="43" spans="2:5" x14ac:dyDescent="0.2">
      <c r="B43" s="117" t="s">
        <v>494</v>
      </c>
      <c r="C43" s="111" t="s">
        <v>495</v>
      </c>
      <c r="D43" s="105">
        <v>1.62</v>
      </c>
      <c r="E43" s="118">
        <v>0.73</v>
      </c>
    </row>
    <row r="44" spans="2:5" x14ac:dyDescent="0.2">
      <c r="B44" s="117" t="s">
        <v>496</v>
      </c>
      <c r="C44" s="111" t="s">
        <v>497</v>
      </c>
      <c r="D44" s="105">
        <v>1.46</v>
      </c>
      <c r="E44" s="118">
        <v>0.8</v>
      </c>
    </row>
    <row r="45" spans="2:5" x14ac:dyDescent="0.2">
      <c r="B45" s="117" t="s">
        <v>498</v>
      </c>
      <c r="C45" s="111" t="s">
        <v>499</v>
      </c>
      <c r="D45" s="105">
        <v>1.55</v>
      </c>
      <c r="E45" s="118">
        <v>0.77</v>
      </c>
    </row>
    <row r="46" spans="2:5" x14ac:dyDescent="0.2">
      <c r="B46" s="117" t="s">
        <v>490</v>
      </c>
      <c r="C46" s="111" t="s">
        <v>523</v>
      </c>
      <c r="D46" s="105">
        <v>1.49</v>
      </c>
      <c r="E46" s="118">
        <v>0.73</v>
      </c>
    </row>
    <row r="47" spans="2:5" ht="26" x14ac:dyDescent="0.2">
      <c r="B47" s="119" t="s">
        <v>500</v>
      </c>
      <c r="C47" s="119" t="s">
        <v>524</v>
      </c>
      <c r="D47" s="120">
        <v>7.76</v>
      </c>
      <c r="E47" s="121">
        <v>0.26261311999999998</v>
      </c>
    </row>
    <row r="49" spans="2:5" ht="20" customHeight="1" x14ac:dyDescent="0.2">
      <c r="B49" s="206" t="s">
        <v>525</v>
      </c>
      <c r="C49" s="143"/>
      <c r="D49" s="143"/>
      <c r="E49" s="143"/>
    </row>
    <row r="50" spans="2:5" x14ac:dyDescent="0.2">
      <c r="B50" s="116" t="s">
        <v>103</v>
      </c>
      <c r="C50" s="116" t="s">
        <v>104</v>
      </c>
      <c r="D50" s="116" t="s">
        <v>105</v>
      </c>
      <c r="E50" s="116" t="s">
        <v>107</v>
      </c>
    </row>
    <row r="51" spans="2:5" x14ac:dyDescent="0.2">
      <c r="B51" s="117" t="s">
        <v>526</v>
      </c>
      <c r="C51" s="111" t="s">
        <v>527</v>
      </c>
      <c r="D51" s="105">
        <v>1.65</v>
      </c>
      <c r="E51" s="118">
        <v>0.65</v>
      </c>
    </row>
    <row r="52" spans="2:5" x14ac:dyDescent="0.2">
      <c r="B52" s="117" t="s">
        <v>503</v>
      </c>
      <c r="C52" s="111" t="s">
        <v>504</v>
      </c>
      <c r="D52" s="105">
        <v>1.42</v>
      </c>
      <c r="E52" s="118">
        <v>0.8</v>
      </c>
    </row>
    <row r="53" spans="2:5" x14ac:dyDescent="0.2">
      <c r="B53" s="117" t="s">
        <v>507</v>
      </c>
      <c r="C53" s="111" t="s">
        <v>508</v>
      </c>
      <c r="D53" s="105">
        <v>1.44</v>
      </c>
      <c r="E53" s="118">
        <v>0.77</v>
      </c>
    </row>
    <row r="54" spans="2:5" x14ac:dyDescent="0.2">
      <c r="B54" s="117" t="s">
        <v>496</v>
      </c>
      <c r="C54" s="111" t="s">
        <v>497</v>
      </c>
      <c r="D54" s="105">
        <v>1.46</v>
      </c>
      <c r="E54" s="118">
        <v>0.8</v>
      </c>
    </row>
    <row r="55" spans="2:5" x14ac:dyDescent="0.2">
      <c r="B55" s="117" t="s">
        <v>490</v>
      </c>
      <c r="C55" s="111" t="s">
        <v>523</v>
      </c>
      <c r="D55" s="105">
        <v>1.49</v>
      </c>
      <c r="E55" s="118">
        <v>0.73</v>
      </c>
    </row>
    <row r="56" spans="2:5" ht="26" x14ac:dyDescent="0.2">
      <c r="B56" s="119" t="s">
        <v>500</v>
      </c>
      <c r="C56" s="119" t="s">
        <v>528</v>
      </c>
      <c r="D56" s="120">
        <v>7.34</v>
      </c>
      <c r="E56" s="121">
        <v>0.2338336</v>
      </c>
    </row>
    <row r="58" spans="2:5" ht="20" customHeight="1" x14ac:dyDescent="0.2">
      <c r="B58" s="206" t="s">
        <v>529</v>
      </c>
      <c r="C58" s="143"/>
      <c r="D58" s="143"/>
      <c r="E58" s="143"/>
    </row>
    <row r="59" spans="2:5" x14ac:dyDescent="0.2">
      <c r="B59" s="116" t="s">
        <v>103</v>
      </c>
      <c r="C59" s="116" t="s">
        <v>104</v>
      </c>
      <c r="D59" s="116" t="s">
        <v>105</v>
      </c>
      <c r="E59" s="116" t="s">
        <v>107</v>
      </c>
    </row>
    <row r="60" spans="2:5" x14ac:dyDescent="0.2">
      <c r="B60" s="117" t="s">
        <v>511</v>
      </c>
      <c r="C60" s="111" t="s">
        <v>512</v>
      </c>
      <c r="D60" s="105">
        <v>1.72</v>
      </c>
      <c r="E60" s="118">
        <v>0.8</v>
      </c>
    </row>
    <row r="61" spans="2:5" x14ac:dyDescent="0.2">
      <c r="B61" s="117" t="s">
        <v>513</v>
      </c>
      <c r="C61" s="111" t="s">
        <v>514</v>
      </c>
      <c r="D61" s="105">
        <v>1.85</v>
      </c>
      <c r="E61" s="118">
        <v>0.75</v>
      </c>
    </row>
    <row r="62" spans="2:5" ht="26" x14ac:dyDescent="0.2">
      <c r="B62" s="117" t="s">
        <v>515</v>
      </c>
      <c r="C62" s="111" t="s">
        <v>516</v>
      </c>
      <c r="D62" s="105">
        <v>1.98</v>
      </c>
      <c r="E62" s="118">
        <v>0.85</v>
      </c>
    </row>
    <row r="63" spans="2:5" x14ac:dyDescent="0.2">
      <c r="B63" s="117" t="s">
        <v>517</v>
      </c>
      <c r="C63" s="111" t="s">
        <v>518</v>
      </c>
      <c r="D63" s="105">
        <v>1.8</v>
      </c>
      <c r="E63" s="118">
        <v>0.75</v>
      </c>
    </row>
    <row r="64" spans="2:5" x14ac:dyDescent="0.2">
      <c r="B64" s="117" t="s">
        <v>530</v>
      </c>
      <c r="C64" s="111" t="s">
        <v>531</v>
      </c>
      <c r="D64" s="105">
        <v>1.48</v>
      </c>
      <c r="E64" s="118">
        <v>0.88</v>
      </c>
    </row>
    <row r="65" spans="2:5" ht="26" x14ac:dyDescent="0.2">
      <c r="B65" s="119" t="s">
        <v>500</v>
      </c>
      <c r="C65" s="119" t="s">
        <v>532</v>
      </c>
      <c r="D65" s="120">
        <v>16.78</v>
      </c>
      <c r="E65" s="121">
        <v>0.33660000000000001</v>
      </c>
    </row>
    <row r="67" spans="2:5" ht="20" customHeight="1" x14ac:dyDescent="0.2">
      <c r="B67" s="206" t="s">
        <v>533</v>
      </c>
      <c r="C67" s="143"/>
      <c r="D67" s="143"/>
      <c r="E67" s="143"/>
    </row>
    <row r="68" spans="2:5" x14ac:dyDescent="0.2">
      <c r="B68" s="116" t="s">
        <v>103</v>
      </c>
      <c r="C68" s="116" t="s">
        <v>104</v>
      </c>
      <c r="D68" s="116" t="s">
        <v>105</v>
      </c>
      <c r="E68" s="116" t="s">
        <v>107</v>
      </c>
    </row>
    <row r="69" spans="2:5" x14ac:dyDescent="0.2">
      <c r="B69" s="117" t="s">
        <v>511</v>
      </c>
      <c r="C69" s="111" t="s">
        <v>512</v>
      </c>
      <c r="D69" s="105">
        <v>1.72</v>
      </c>
      <c r="E69" s="118">
        <v>0.8</v>
      </c>
    </row>
    <row r="70" spans="2:5" x14ac:dyDescent="0.2">
      <c r="B70" s="117" t="s">
        <v>513</v>
      </c>
      <c r="C70" s="111" t="s">
        <v>514</v>
      </c>
      <c r="D70" s="105">
        <v>1.85</v>
      </c>
      <c r="E70" s="118">
        <v>0.75</v>
      </c>
    </row>
    <row r="71" spans="2:5" ht="26" x14ac:dyDescent="0.2">
      <c r="B71" s="117" t="s">
        <v>515</v>
      </c>
      <c r="C71" s="111" t="s">
        <v>516</v>
      </c>
      <c r="D71" s="105">
        <v>1.98</v>
      </c>
      <c r="E71" s="118">
        <v>0.85</v>
      </c>
    </row>
    <row r="72" spans="2:5" x14ac:dyDescent="0.2">
      <c r="B72" s="117" t="s">
        <v>517</v>
      </c>
      <c r="C72" s="111" t="s">
        <v>518</v>
      </c>
      <c r="D72" s="105">
        <v>1.8</v>
      </c>
      <c r="E72" s="118">
        <v>0.75</v>
      </c>
    </row>
    <row r="73" spans="2:5" ht="26" x14ac:dyDescent="0.2">
      <c r="B73" s="117" t="s">
        <v>534</v>
      </c>
      <c r="C73" s="111" t="s">
        <v>535</v>
      </c>
      <c r="D73" s="105">
        <v>1.72</v>
      </c>
      <c r="E73" s="118">
        <v>0.75</v>
      </c>
    </row>
    <row r="74" spans="2:5" ht="26" x14ac:dyDescent="0.2">
      <c r="B74" s="119" t="s">
        <v>500</v>
      </c>
      <c r="C74" s="119" t="s">
        <v>536</v>
      </c>
      <c r="D74" s="120">
        <v>19.510000000000002</v>
      </c>
      <c r="E74" s="121">
        <v>0.28687499999999999</v>
      </c>
    </row>
    <row r="76" spans="2:5" ht="20" customHeight="1" x14ac:dyDescent="0.2">
      <c r="B76" s="206" t="s">
        <v>537</v>
      </c>
      <c r="C76" s="143"/>
      <c r="D76" s="143"/>
      <c r="E76" s="143"/>
    </row>
    <row r="77" spans="2:5" x14ac:dyDescent="0.2">
      <c r="B77" s="116" t="s">
        <v>103</v>
      </c>
      <c r="C77" s="116" t="s">
        <v>104</v>
      </c>
      <c r="D77" s="116" t="s">
        <v>105</v>
      </c>
      <c r="E77" s="116" t="s">
        <v>107</v>
      </c>
    </row>
    <row r="78" spans="2:5" x14ac:dyDescent="0.2">
      <c r="B78" s="117" t="s">
        <v>490</v>
      </c>
      <c r="C78" s="111" t="s">
        <v>491</v>
      </c>
      <c r="D78" s="105">
        <v>1.41</v>
      </c>
      <c r="E78" s="118">
        <v>0.9</v>
      </c>
    </row>
    <row r="79" spans="2:5" ht="26" x14ac:dyDescent="0.2">
      <c r="B79" s="117" t="s">
        <v>492</v>
      </c>
      <c r="C79" s="111" t="s">
        <v>493</v>
      </c>
      <c r="D79" s="105">
        <v>1.67</v>
      </c>
      <c r="E79" s="118">
        <v>0.75</v>
      </c>
    </row>
    <row r="80" spans="2:5" x14ac:dyDescent="0.2">
      <c r="B80" s="117" t="s">
        <v>519</v>
      </c>
      <c r="C80" s="111" t="s">
        <v>520</v>
      </c>
      <c r="D80" s="105">
        <v>1.55</v>
      </c>
      <c r="E80" s="118">
        <v>0.85</v>
      </c>
    </row>
    <row r="81" spans="2:5" x14ac:dyDescent="0.2">
      <c r="B81" s="117" t="s">
        <v>530</v>
      </c>
      <c r="C81" s="111" t="s">
        <v>531</v>
      </c>
      <c r="D81" s="105">
        <v>1.48</v>
      </c>
      <c r="E81" s="118">
        <v>0.88</v>
      </c>
    </row>
    <row r="82" spans="2:5" ht="26" x14ac:dyDescent="0.2">
      <c r="B82" s="117" t="s">
        <v>534</v>
      </c>
      <c r="C82" s="111" t="s">
        <v>535</v>
      </c>
      <c r="D82" s="105">
        <v>1.72</v>
      </c>
      <c r="E82" s="118">
        <v>0.75</v>
      </c>
    </row>
    <row r="83" spans="2:5" ht="26" x14ac:dyDescent="0.2">
      <c r="B83" s="119" t="s">
        <v>500</v>
      </c>
      <c r="C83" s="119" t="s">
        <v>538</v>
      </c>
      <c r="D83" s="120">
        <v>9.2899999999999991</v>
      </c>
      <c r="E83" s="121">
        <v>0.37867499999999998</v>
      </c>
    </row>
    <row r="85" spans="2:5" ht="20" customHeight="1" x14ac:dyDescent="0.2">
      <c r="B85" s="206" t="s">
        <v>539</v>
      </c>
      <c r="C85" s="143"/>
      <c r="D85" s="143"/>
      <c r="E85" s="143"/>
    </row>
    <row r="86" spans="2:5" x14ac:dyDescent="0.2">
      <c r="B86" s="116" t="s">
        <v>103</v>
      </c>
      <c r="C86" s="116" t="s">
        <v>104</v>
      </c>
      <c r="D86" s="116" t="s">
        <v>105</v>
      </c>
      <c r="E86" s="116" t="s">
        <v>107</v>
      </c>
    </row>
    <row r="87" spans="2:5" x14ac:dyDescent="0.2">
      <c r="B87" s="117" t="s">
        <v>511</v>
      </c>
      <c r="C87" s="111" t="s">
        <v>512</v>
      </c>
      <c r="D87" s="105">
        <v>1.72</v>
      </c>
      <c r="E87" s="118">
        <v>0.8</v>
      </c>
    </row>
    <row r="88" spans="2:5" x14ac:dyDescent="0.2">
      <c r="B88" s="117" t="s">
        <v>513</v>
      </c>
      <c r="C88" s="111" t="s">
        <v>514</v>
      </c>
      <c r="D88" s="105">
        <v>1.85</v>
      </c>
      <c r="E88" s="118">
        <v>0.75</v>
      </c>
    </row>
    <row r="89" spans="2:5" ht="26" x14ac:dyDescent="0.2">
      <c r="B89" s="117" t="s">
        <v>515</v>
      </c>
      <c r="C89" s="111" t="s">
        <v>516</v>
      </c>
      <c r="D89" s="105">
        <v>1.98</v>
      </c>
      <c r="E89" s="118">
        <v>0.85</v>
      </c>
    </row>
    <row r="90" spans="2:5" x14ac:dyDescent="0.2">
      <c r="B90" s="117" t="s">
        <v>517</v>
      </c>
      <c r="C90" s="111" t="s">
        <v>518</v>
      </c>
      <c r="D90" s="105">
        <v>1.8</v>
      </c>
      <c r="E90" s="118">
        <v>0.75</v>
      </c>
    </row>
    <row r="91" spans="2:5" ht="26" x14ac:dyDescent="0.2">
      <c r="B91" s="117" t="s">
        <v>540</v>
      </c>
      <c r="C91" s="111" t="s">
        <v>541</v>
      </c>
      <c r="D91" s="105">
        <v>1.55</v>
      </c>
      <c r="E91" s="118">
        <v>0.83</v>
      </c>
    </row>
    <row r="92" spans="2:5" ht="26" x14ac:dyDescent="0.2">
      <c r="B92" s="119" t="s">
        <v>500</v>
      </c>
      <c r="C92" s="119" t="s">
        <v>521</v>
      </c>
      <c r="D92" s="120">
        <v>17.579999999999998</v>
      </c>
      <c r="E92" s="121">
        <v>0.31747500000000001</v>
      </c>
    </row>
    <row r="94" spans="2:5" ht="20" customHeight="1" x14ac:dyDescent="0.2">
      <c r="B94" s="206" t="s">
        <v>542</v>
      </c>
      <c r="C94" s="143"/>
      <c r="D94" s="143"/>
      <c r="E94" s="143"/>
    </row>
    <row r="95" spans="2:5" x14ac:dyDescent="0.2">
      <c r="B95" s="116" t="s">
        <v>103</v>
      </c>
      <c r="C95" s="116" t="s">
        <v>104</v>
      </c>
      <c r="D95" s="116" t="s">
        <v>105</v>
      </c>
      <c r="E95" s="116" t="s">
        <v>107</v>
      </c>
    </row>
    <row r="96" spans="2:5" x14ac:dyDescent="0.2">
      <c r="B96" s="117" t="s">
        <v>490</v>
      </c>
      <c r="C96" s="111" t="s">
        <v>491</v>
      </c>
      <c r="D96" s="105">
        <v>1.41</v>
      </c>
      <c r="E96" s="118">
        <v>0.9</v>
      </c>
    </row>
    <row r="97" spans="2:5" x14ac:dyDescent="0.2">
      <c r="B97" s="117" t="s">
        <v>519</v>
      </c>
      <c r="C97" s="111" t="s">
        <v>520</v>
      </c>
      <c r="D97" s="105">
        <v>1.55</v>
      </c>
      <c r="E97" s="118">
        <v>0.85</v>
      </c>
    </row>
    <row r="98" spans="2:5" x14ac:dyDescent="0.2">
      <c r="B98" s="117" t="s">
        <v>530</v>
      </c>
      <c r="C98" s="111" t="s">
        <v>531</v>
      </c>
      <c r="D98" s="105">
        <v>1.48</v>
      </c>
      <c r="E98" s="118">
        <v>0.88</v>
      </c>
    </row>
    <row r="99" spans="2:5" ht="26" x14ac:dyDescent="0.2">
      <c r="B99" s="117" t="s">
        <v>534</v>
      </c>
      <c r="C99" s="111" t="s">
        <v>535</v>
      </c>
      <c r="D99" s="105">
        <v>1.72</v>
      </c>
      <c r="E99" s="118">
        <v>0.75</v>
      </c>
    </row>
    <row r="100" spans="2:5" ht="26" x14ac:dyDescent="0.2">
      <c r="B100" s="117" t="s">
        <v>540</v>
      </c>
      <c r="C100" s="111" t="s">
        <v>541</v>
      </c>
      <c r="D100" s="105">
        <v>1.55</v>
      </c>
      <c r="E100" s="118">
        <v>0.83</v>
      </c>
    </row>
    <row r="101" spans="2:5" ht="26" x14ac:dyDescent="0.2">
      <c r="B101" s="119" t="s">
        <v>500</v>
      </c>
      <c r="C101" s="119" t="s">
        <v>543</v>
      </c>
      <c r="D101" s="120">
        <v>8.6199999999999992</v>
      </c>
      <c r="E101" s="121">
        <v>0.41906700000000002</v>
      </c>
    </row>
    <row r="103" spans="2:5" ht="20" customHeight="1" x14ac:dyDescent="0.2">
      <c r="B103" s="206" t="s">
        <v>544</v>
      </c>
      <c r="C103" s="143"/>
      <c r="D103" s="143"/>
      <c r="E103" s="143"/>
    </row>
    <row r="104" spans="2:5" x14ac:dyDescent="0.2">
      <c r="B104" s="116" t="s">
        <v>103</v>
      </c>
      <c r="C104" s="116" t="s">
        <v>104</v>
      </c>
      <c r="D104" s="116" t="s">
        <v>105</v>
      </c>
      <c r="E104" s="116" t="s">
        <v>107</v>
      </c>
    </row>
    <row r="105" spans="2:5" ht="26" x14ac:dyDescent="0.2">
      <c r="B105" s="117" t="s">
        <v>492</v>
      </c>
      <c r="C105" s="111" t="s">
        <v>493</v>
      </c>
      <c r="D105" s="105">
        <v>1.67</v>
      </c>
      <c r="E105" s="118">
        <v>0.75</v>
      </c>
    </row>
    <row r="106" spans="2:5" x14ac:dyDescent="0.2">
      <c r="B106" s="117" t="s">
        <v>519</v>
      </c>
      <c r="C106" s="111" t="s">
        <v>520</v>
      </c>
      <c r="D106" s="105">
        <v>1.55</v>
      </c>
      <c r="E106" s="118">
        <v>0.85</v>
      </c>
    </row>
    <row r="107" spans="2:5" x14ac:dyDescent="0.2">
      <c r="B107" s="117" t="s">
        <v>530</v>
      </c>
      <c r="C107" s="111" t="s">
        <v>531</v>
      </c>
      <c r="D107" s="105">
        <v>1.48</v>
      </c>
      <c r="E107" s="118">
        <v>0.88</v>
      </c>
    </row>
    <row r="108" spans="2:5" ht="26" x14ac:dyDescent="0.2">
      <c r="B108" s="117" t="s">
        <v>534</v>
      </c>
      <c r="C108" s="111" t="s">
        <v>535</v>
      </c>
      <c r="D108" s="105">
        <v>1.72</v>
      </c>
      <c r="E108" s="118">
        <v>0.75</v>
      </c>
    </row>
    <row r="109" spans="2:5" ht="26" x14ac:dyDescent="0.2">
      <c r="B109" s="117" t="s">
        <v>540</v>
      </c>
      <c r="C109" s="111" t="s">
        <v>541</v>
      </c>
      <c r="D109" s="105">
        <v>1.55</v>
      </c>
      <c r="E109" s="118">
        <v>0.83</v>
      </c>
    </row>
    <row r="110" spans="2:5" ht="26" x14ac:dyDescent="0.2">
      <c r="B110" s="119" t="s">
        <v>500</v>
      </c>
      <c r="C110" s="119" t="s">
        <v>545</v>
      </c>
      <c r="D110" s="120">
        <v>10.210000000000001</v>
      </c>
      <c r="E110" s="121">
        <v>0.34922249999999988</v>
      </c>
    </row>
  </sheetData>
  <mergeCells count="13">
    <mergeCell ref="B4:E4"/>
    <mergeCell ref="B58:E58"/>
    <mergeCell ref="B13:E13"/>
    <mergeCell ref="B2:E2"/>
    <mergeCell ref="B103:E103"/>
    <mergeCell ref="B85:E85"/>
    <mergeCell ref="B22:E22"/>
    <mergeCell ref="B67:E67"/>
    <mergeCell ref="B94:E94"/>
    <mergeCell ref="B31:E31"/>
    <mergeCell ref="B40:E40"/>
    <mergeCell ref="B76:E76"/>
    <mergeCell ref="B49:E49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Q29"/>
  <sheetViews>
    <sheetView showGridLines="0" zoomScale="150" zoomScaleNormal="173" workbookViewId="0">
      <pane xSplit="1" topLeftCell="B1" activePane="topRight" state="frozen"/>
      <selection pane="topRight" activeCell="N18" sqref="N18"/>
    </sheetView>
  </sheetViews>
  <sheetFormatPr baseColWidth="10" defaultColWidth="8.83203125" defaultRowHeight="15" x14ac:dyDescent="0.2"/>
  <cols>
    <col min="1" max="1" width="2" customWidth="1"/>
    <col min="2" max="2" width="14" customWidth="1"/>
    <col min="3" max="3" width="26" customWidth="1"/>
    <col min="4" max="16" width="6.6640625" customWidth="1"/>
    <col min="17" max="17" width="7" customWidth="1"/>
  </cols>
  <sheetData>
    <row r="2" spans="2:17" ht="24" customHeight="1" x14ac:dyDescent="0.2">
      <c r="B2" s="209" t="s">
        <v>546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</row>
    <row r="4" spans="2:17" x14ac:dyDescent="0.2">
      <c r="B4" s="122" t="s">
        <v>103</v>
      </c>
      <c r="C4" s="122" t="s">
        <v>104</v>
      </c>
      <c r="D4" s="214" t="s">
        <v>193</v>
      </c>
      <c r="E4" s="122" t="s">
        <v>194</v>
      </c>
      <c r="F4" s="122" t="s">
        <v>195</v>
      </c>
      <c r="G4" s="122" t="s">
        <v>196</v>
      </c>
      <c r="H4" s="122" t="s">
        <v>197</v>
      </c>
      <c r="I4" s="122" t="s">
        <v>198</v>
      </c>
      <c r="J4" s="122" t="s">
        <v>199</v>
      </c>
      <c r="K4" s="122" t="s">
        <v>200</v>
      </c>
      <c r="L4" s="122" t="s">
        <v>201</v>
      </c>
      <c r="M4" s="122" t="s">
        <v>202</v>
      </c>
      <c r="N4" s="122" t="s">
        <v>203</v>
      </c>
      <c r="O4" s="213" t="s">
        <v>580</v>
      </c>
      <c r="P4" s="122" t="s">
        <v>204</v>
      </c>
      <c r="Q4" s="122" t="s">
        <v>547</v>
      </c>
    </row>
    <row r="5" spans="2:17" x14ac:dyDescent="0.2">
      <c r="B5" s="123" t="s">
        <v>548</v>
      </c>
      <c r="C5" s="124" t="s">
        <v>549</v>
      </c>
      <c r="D5" s="125"/>
      <c r="E5" s="125"/>
      <c r="F5" s="125"/>
      <c r="G5" s="125"/>
      <c r="H5" s="125"/>
      <c r="I5" s="86" t="s">
        <v>417</v>
      </c>
      <c r="J5" s="125"/>
      <c r="K5" s="125"/>
      <c r="L5" s="125"/>
      <c r="M5" s="125"/>
      <c r="N5" s="125"/>
      <c r="O5" s="125"/>
      <c r="P5" s="125"/>
      <c r="Q5" s="126">
        <v>1</v>
      </c>
    </row>
    <row r="6" spans="2:17" x14ac:dyDescent="0.2">
      <c r="B6" s="127" t="s">
        <v>550</v>
      </c>
      <c r="C6" s="128" t="s">
        <v>375</v>
      </c>
      <c r="D6" s="129"/>
      <c r="E6" s="129"/>
      <c r="F6" s="129"/>
      <c r="G6" s="86" t="s">
        <v>417</v>
      </c>
      <c r="H6" s="129"/>
      <c r="I6" s="129"/>
      <c r="J6" s="86" t="s">
        <v>417</v>
      </c>
      <c r="K6" s="86" t="s">
        <v>417</v>
      </c>
      <c r="L6" s="129"/>
      <c r="M6" s="86" t="s">
        <v>417</v>
      </c>
      <c r="N6" s="129"/>
      <c r="O6" s="129"/>
      <c r="P6" s="129"/>
      <c r="Q6" s="130">
        <v>4</v>
      </c>
    </row>
    <row r="7" spans="2:17" ht="16" x14ac:dyDescent="0.2">
      <c r="B7" s="123" t="s">
        <v>551</v>
      </c>
      <c r="C7" s="124" t="s">
        <v>552</v>
      </c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5" t="s">
        <v>578</v>
      </c>
      <c r="P7" s="125"/>
      <c r="Q7" s="126">
        <v>0</v>
      </c>
    </row>
    <row r="8" spans="2:17" ht="16" x14ac:dyDescent="0.2">
      <c r="B8" s="127" t="s">
        <v>553</v>
      </c>
      <c r="C8" s="128" t="s">
        <v>183</v>
      </c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 t="s">
        <v>578</v>
      </c>
      <c r="P8" s="129"/>
      <c r="Q8" s="130">
        <v>0</v>
      </c>
    </row>
    <row r="9" spans="2:17" ht="16" x14ac:dyDescent="0.2">
      <c r="B9" s="123" t="s">
        <v>554</v>
      </c>
      <c r="C9" s="124" t="s">
        <v>555</v>
      </c>
      <c r="D9" s="125"/>
      <c r="E9" s="125"/>
      <c r="F9" s="125"/>
      <c r="G9" s="86" t="s">
        <v>417</v>
      </c>
      <c r="H9" s="125"/>
      <c r="I9" s="125"/>
      <c r="J9" s="86" t="s">
        <v>417</v>
      </c>
      <c r="K9" s="86" t="s">
        <v>417</v>
      </c>
      <c r="L9" s="125"/>
      <c r="M9" s="86" t="s">
        <v>417</v>
      </c>
      <c r="N9" s="125"/>
      <c r="O9" s="125" t="s">
        <v>578</v>
      </c>
      <c r="P9" s="125"/>
      <c r="Q9" s="126">
        <v>4</v>
      </c>
    </row>
    <row r="10" spans="2:17" ht="16" x14ac:dyDescent="0.2">
      <c r="B10" s="127" t="s">
        <v>556</v>
      </c>
      <c r="C10" s="128" t="s">
        <v>119</v>
      </c>
      <c r="D10" s="129"/>
      <c r="E10" s="86" t="s">
        <v>417</v>
      </c>
      <c r="F10" s="86" t="s">
        <v>417</v>
      </c>
      <c r="G10" s="129"/>
      <c r="H10" s="86" t="s">
        <v>417</v>
      </c>
      <c r="I10" s="86" t="s">
        <v>417</v>
      </c>
      <c r="J10" s="129"/>
      <c r="K10" s="129"/>
      <c r="L10" s="129"/>
      <c r="M10" s="129"/>
      <c r="N10" s="129"/>
      <c r="O10" s="129" t="s">
        <v>578</v>
      </c>
      <c r="P10" s="129"/>
      <c r="Q10" s="130">
        <v>4</v>
      </c>
    </row>
    <row r="11" spans="2:17" x14ac:dyDescent="0.2">
      <c r="B11" s="123" t="s">
        <v>557</v>
      </c>
      <c r="C11" s="124" t="s">
        <v>389</v>
      </c>
      <c r="D11" s="86" t="s">
        <v>417</v>
      </c>
      <c r="E11" s="86" t="s">
        <v>417</v>
      </c>
      <c r="F11" s="125"/>
      <c r="G11" s="125"/>
      <c r="H11" s="125"/>
      <c r="I11" s="125"/>
      <c r="J11" s="125"/>
      <c r="K11" s="125"/>
      <c r="L11" s="86" t="s">
        <v>417</v>
      </c>
      <c r="M11" s="125"/>
      <c r="N11" s="86" t="s">
        <v>417</v>
      </c>
      <c r="O11" s="210" t="s">
        <v>578</v>
      </c>
      <c r="P11" s="125"/>
      <c r="Q11" s="126">
        <v>4</v>
      </c>
    </row>
    <row r="12" spans="2:17" x14ac:dyDescent="0.2">
      <c r="B12" s="127" t="s">
        <v>558</v>
      </c>
      <c r="C12" s="128" t="s">
        <v>396</v>
      </c>
      <c r="D12" s="86" t="s">
        <v>417</v>
      </c>
      <c r="E12" s="86" t="s">
        <v>417</v>
      </c>
      <c r="F12" s="129"/>
      <c r="G12" s="129"/>
      <c r="H12" s="129"/>
      <c r="I12" s="129"/>
      <c r="J12" s="129"/>
      <c r="K12" s="129"/>
      <c r="L12" s="86" t="s">
        <v>417</v>
      </c>
      <c r="M12" s="129"/>
      <c r="N12" s="129"/>
      <c r="O12" s="129"/>
      <c r="P12" s="86" t="s">
        <v>417</v>
      </c>
      <c r="Q12" s="130">
        <v>4</v>
      </c>
    </row>
    <row r="13" spans="2:17" x14ac:dyDescent="0.2">
      <c r="B13" s="123" t="s">
        <v>559</v>
      </c>
      <c r="C13" s="124" t="s">
        <v>129</v>
      </c>
      <c r="D13" s="86" t="s">
        <v>417</v>
      </c>
      <c r="E13" s="86" t="s">
        <v>417</v>
      </c>
      <c r="F13" s="86" t="s">
        <v>417</v>
      </c>
      <c r="G13" s="125"/>
      <c r="H13" s="86" t="s">
        <v>417</v>
      </c>
      <c r="I13" s="125"/>
      <c r="J13" s="125"/>
      <c r="K13" s="125"/>
      <c r="L13" s="125"/>
      <c r="M13" s="125"/>
      <c r="N13" s="125"/>
      <c r="O13" s="125"/>
      <c r="P13" s="125"/>
      <c r="Q13" s="126">
        <v>4</v>
      </c>
    </row>
    <row r="14" spans="2:17" x14ac:dyDescent="0.2">
      <c r="B14" s="127" t="s">
        <v>560</v>
      </c>
      <c r="C14" s="128" t="s">
        <v>152</v>
      </c>
      <c r="D14" s="129"/>
      <c r="E14" s="129"/>
      <c r="F14" s="129"/>
      <c r="G14" s="86" t="s">
        <v>417</v>
      </c>
      <c r="H14" s="129"/>
      <c r="I14" s="129"/>
      <c r="J14" s="86" t="s">
        <v>417</v>
      </c>
      <c r="K14" s="86" t="s">
        <v>417</v>
      </c>
      <c r="L14" s="129"/>
      <c r="M14" s="86" t="s">
        <v>417</v>
      </c>
      <c r="N14" s="129"/>
      <c r="O14" s="129"/>
      <c r="P14" s="129"/>
      <c r="Q14" s="130">
        <v>4</v>
      </c>
    </row>
    <row r="15" spans="2:17" x14ac:dyDescent="0.2">
      <c r="B15" s="123" t="s">
        <v>561</v>
      </c>
      <c r="C15" s="124" t="s">
        <v>377</v>
      </c>
      <c r="D15" s="125"/>
      <c r="E15" s="125"/>
      <c r="F15" s="86" t="s">
        <v>417</v>
      </c>
      <c r="G15" s="125"/>
      <c r="H15" s="125"/>
      <c r="I15" s="86" t="s">
        <v>417</v>
      </c>
      <c r="J15" s="125"/>
      <c r="K15" s="125"/>
      <c r="L15" s="125"/>
      <c r="M15" s="125"/>
      <c r="N15" s="125"/>
      <c r="O15" s="125"/>
      <c r="P15" s="125"/>
      <c r="Q15" s="126">
        <v>2</v>
      </c>
    </row>
    <row r="16" spans="2:17" x14ac:dyDescent="0.2">
      <c r="B16" s="127" t="s">
        <v>562</v>
      </c>
      <c r="C16" s="128" t="s">
        <v>186</v>
      </c>
      <c r="D16" s="86" t="s">
        <v>417</v>
      </c>
      <c r="E16" s="129"/>
      <c r="F16" s="86" t="s">
        <v>417</v>
      </c>
      <c r="G16" s="129"/>
      <c r="H16" s="86" t="s">
        <v>417</v>
      </c>
      <c r="I16" s="86" t="s">
        <v>417</v>
      </c>
      <c r="J16" s="129"/>
      <c r="K16" s="129"/>
      <c r="L16" s="129"/>
      <c r="M16" s="129"/>
      <c r="N16" s="129"/>
      <c r="O16" s="129"/>
      <c r="P16" s="129"/>
      <c r="Q16" s="130">
        <v>4</v>
      </c>
    </row>
    <row r="17" spans="2:17" x14ac:dyDescent="0.2">
      <c r="B17" s="123" t="s">
        <v>563</v>
      </c>
      <c r="C17" s="124" t="s">
        <v>156</v>
      </c>
      <c r="D17" s="125"/>
      <c r="E17" s="125"/>
      <c r="F17" s="125"/>
      <c r="G17" s="86" t="s">
        <v>417</v>
      </c>
      <c r="H17" s="125"/>
      <c r="I17" s="125"/>
      <c r="J17" s="86" t="s">
        <v>417</v>
      </c>
      <c r="K17" s="86" t="s">
        <v>417</v>
      </c>
      <c r="L17" s="125"/>
      <c r="M17" s="86" t="s">
        <v>417</v>
      </c>
      <c r="N17" s="125"/>
      <c r="O17" s="125"/>
      <c r="P17" s="125"/>
      <c r="Q17" s="126">
        <v>4</v>
      </c>
    </row>
    <row r="18" spans="2:17" x14ac:dyDescent="0.2">
      <c r="B18" s="127" t="s">
        <v>564</v>
      </c>
      <c r="C18" s="128" t="s">
        <v>187</v>
      </c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30">
        <v>0</v>
      </c>
    </row>
    <row r="19" spans="2:17" x14ac:dyDescent="0.2">
      <c r="B19" s="123" t="s">
        <v>565</v>
      </c>
      <c r="C19" s="124" t="s">
        <v>566</v>
      </c>
      <c r="D19" s="86" t="s">
        <v>417</v>
      </c>
      <c r="E19" s="86" t="s">
        <v>417</v>
      </c>
      <c r="F19" s="86" t="s">
        <v>417</v>
      </c>
      <c r="G19" s="125"/>
      <c r="H19" s="86" t="s">
        <v>417</v>
      </c>
      <c r="I19" s="125"/>
      <c r="J19" s="125"/>
      <c r="K19" s="125"/>
      <c r="L19" s="125"/>
      <c r="M19" s="125"/>
      <c r="N19" s="125"/>
      <c r="O19" s="125"/>
      <c r="P19" s="125"/>
      <c r="Q19" s="126">
        <v>4</v>
      </c>
    </row>
    <row r="20" spans="2:17" x14ac:dyDescent="0.2">
      <c r="B20" s="127" t="s">
        <v>567</v>
      </c>
      <c r="C20" s="128" t="s">
        <v>390</v>
      </c>
      <c r="D20" s="129"/>
      <c r="E20" s="129"/>
      <c r="F20" s="129"/>
      <c r="G20" s="86" t="s">
        <v>417</v>
      </c>
      <c r="H20" s="129"/>
      <c r="I20" s="129"/>
      <c r="J20" s="129"/>
      <c r="K20" s="129"/>
      <c r="L20" s="86" t="s">
        <v>417</v>
      </c>
      <c r="M20" s="129"/>
      <c r="N20" s="86" t="s">
        <v>417</v>
      </c>
      <c r="O20" s="86"/>
      <c r="P20" s="86" t="s">
        <v>417</v>
      </c>
      <c r="Q20" s="130">
        <v>4</v>
      </c>
    </row>
    <row r="21" spans="2:17" x14ac:dyDescent="0.2">
      <c r="B21" s="123" t="s">
        <v>568</v>
      </c>
      <c r="C21" s="124" t="s">
        <v>164</v>
      </c>
      <c r="D21" s="125"/>
      <c r="E21" s="125"/>
      <c r="F21" s="125"/>
      <c r="G21" s="125"/>
      <c r="H21" s="86" t="s">
        <v>417</v>
      </c>
      <c r="I21" s="86" t="s">
        <v>417</v>
      </c>
      <c r="J21" s="125"/>
      <c r="K21" s="125"/>
      <c r="L21" s="125"/>
      <c r="M21" s="125"/>
      <c r="N21" s="125"/>
      <c r="O21" s="125"/>
      <c r="P21" s="125"/>
      <c r="Q21" s="126">
        <v>2</v>
      </c>
    </row>
    <row r="22" spans="2:17" x14ac:dyDescent="0.2">
      <c r="B22" s="127" t="s">
        <v>569</v>
      </c>
      <c r="C22" s="128" t="s">
        <v>137</v>
      </c>
      <c r="D22" s="129"/>
      <c r="E22" s="129"/>
      <c r="F22" s="129"/>
      <c r="G22" s="129"/>
      <c r="H22" s="129"/>
      <c r="I22" s="129"/>
      <c r="J22" s="86" t="s">
        <v>417</v>
      </c>
      <c r="K22" s="129"/>
      <c r="L22" s="86" t="s">
        <v>417</v>
      </c>
      <c r="M22" s="129"/>
      <c r="N22" s="86" t="s">
        <v>417</v>
      </c>
      <c r="O22" s="86"/>
      <c r="P22" s="86" t="s">
        <v>417</v>
      </c>
      <c r="Q22" s="130">
        <v>4</v>
      </c>
    </row>
    <row r="23" spans="2:17" x14ac:dyDescent="0.2">
      <c r="B23" s="123" t="s">
        <v>570</v>
      </c>
      <c r="C23" s="124" t="s">
        <v>381</v>
      </c>
      <c r="D23" s="125"/>
      <c r="E23" s="125"/>
      <c r="F23" s="125"/>
      <c r="G23" s="125"/>
      <c r="H23" s="125"/>
      <c r="I23" s="125"/>
      <c r="J23" s="125"/>
      <c r="K23" s="86" t="s">
        <v>417</v>
      </c>
      <c r="L23" s="86" t="s">
        <v>417</v>
      </c>
      <c r="M23" s="125"/>
      <c r="N23" s="86" t="s">
        <v>417</v>
      </c>
      <c r="O23" s="86"/>
      <c r="P23" s="86" t="s">
        <v>417</v>
      </c>
      <c r="Q23" s="126">
        <v>4</v>
      </c>
    </row>
    <row r="24" spans="2:17" x14ac:dyDescent="0.2">
      <c r="B24" s="127" t="s">
        <v>571</v>
      </c>
      <c r="C24" s="128" t="s">
        <v>174</v>
      </c>
      <c r="D24" s="129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29"/>
      <c r="Q24" s="130">
        <v>0</v>
      </c>
    </row>
    <row r="25" spans="2:17" x14ac:dyDescent="0.2">
      <c r="B25" s="123" t="s">
        <v>572</v>
      </c>
      <c r="C25" s="124" t="s">
        <v>573</v>
      </c>
      <c r="D25" s="125"/>
      <c r="E25" s="125"/>
      <c r="F25" s="125"/>
      <c r="G25" s="125"/>
      <c r="H25" s="125"/>
      <c r="I25" s="125"/>
      <c r="J25" s="125"/>
      <c r="K25" s="125"/>
      <c r="L25" s="125"/>
      <c r="M25" s="86" t="s">
        <v>417</v>
      </c>
      <c r="N25" s="86" t="s">
        <v>417</v>
      </c>
      <c r="O25" s="86"/>
      <c r="P25" s="86" t="s">
        <v>417</v>
      </c>
      <c r="Q25" s="126">
        <v>3</v>
      </c>
    </row>
    <row r="26" spans="2:17" x14ac:dyDescent="0.2">
      <c r="B26" s="103" t="s">
        <v>448</v>
      </c>
      <c r="C26" s="131" t="s">
        <v>574</v>
      </c>
      <c r="D26" s="103">
        <v>5</v>
      </c>
      <c r="E26" s="103">
        <v>5</v>
      </c>
      <c r="F26" s="103">
        <v>5</v>
      </c>
      <c r="G26" s="103">
        <v>5</v>
      </c>
      <c r="H26" s="103">
        <v>5</v>
      </c>
      <c r="I26" s="103">
        <v>5</v>
      </c>
      <c r="J26" s="103">
        <v>5</v>
      </c>
      <c r="K26" s="103">
        <v>5</v>
      </c>
      <c r="L26" s="103">
        <v>5</v>
      </c>
      <c r="M26" s="103">
        <v>5</v>
      </c>
      <c r="N26" s="103">
        <v>5</v>
      </c>
      <c r="O26" s="103"/>
      <c r="P26" s="103">
        <v>5</v>
      </c>
      <c r="Q26" s="132"/>
    </row>
    <row r="27" spans="2:17" x14ac:dyDescent="0.2">
      <c r="B27" s="133" t="s">
        <v>575</v>
      </c>
      <c r="C27" s="134" t="s">
        <v>576</v>
      </c>
      <c r="D27" s="135">
        <v>458</v>
      </c>
      <c r="E27" s="135">
        <v>444</v>
      </c>
      <c r="F27" s="135">
        <v>390</v>
      </c>
      <c r="G27" s="135">
        <v>995</v>
      </c>
      <c r="H27" s="135">
        <v>405</v>
      </c>
      <c r="I27" s="135">
        <v>380</v>
      </c>
      <c r="J27" s="135">
        <v>947</v>
      </c>
      <c r="K27" s="135">
        <v>1110</v>
      </c>
      <c r="L27" s="135">
        <v>497</v>
      </c>
      <c r="M27" s="135">
        <v>995</v>
      </c>
      <c r="N27" s="135">
        <v>457</v>
      </c>
      <c r="O27" s="135"/>
      <c r="P27" s="135">
        <v>553</v>
      </c>
      <c r="Q27" s="136">
        <v>7631</v>
      </c>
    </row>
    <row r="29" spans="2:17" ht="30" customHeight="1" x14ac:dyDescent="0.2">
      <c r="B29" s="208" t="s">
        <v>577</v>
      </c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</row>
  </sheetData>
  <mergeCells count="2">
    <mergeCell ref="B29:Q29"/>
    <mergeCell ref="B2: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Portada</vt:lpstr>
      <vt:lpstr>Inicio · Resumen</vt:lpstr>
      <vt:lpstr>Inicio · Combinadas</vt:lpstr>
      <vt:lpstr>Inicio · Cobertura</vt:lpstr>
      <vt:lpstr>Kelly · Por día</vt:lpstr>
      <vt:lpstr>Kelly · Comparación</vt:lpstr>
      <vt:lpstr>Kelly ½ · gana todo</vt:lpstr>
      <vt:lpstr>Kelly ⅔ · gana todo</vt:lpstr>
      <vt:lpstr>Kelly 100% · gana todo</vt:lpstr>
      <vt:lpstr>5000 · Resumen y riesgo</vt:lpstr>
      <vt:lpstr>5000 · Detalle</vt:lpstr>
      <vt:lpstr>5000 · Mapa</vt:lpstr>
      <vt:lpstr>Kelly · Percentiles</vt:lpstr>
      <vt:lpstr>Segura · Resumen</vt:lpstr>
      <vt:lpstr>Segura · Detalle</vt:lpstr>
      <vt:lpstr>Segura · Mapa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Orihuela</cp:lastModifiedBy>
  <cp:revision>0</cp:revision>
  <dcterms:created xsi:type="dcterms:W3CDTF">2026-06-05T05:19:13Z</dcterms:created>
  <dcterms:modified xsi:type="dcterms:W3CDTF">2026-06-13T04:39:36Z</dcterms:modified>
  <dc:language>en-US</dc:language>
</cp:coreProperties>
</file>